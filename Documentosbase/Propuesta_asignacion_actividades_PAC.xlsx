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P:\Proyectos Centro de Pensamiento\PAC\"/>
    </mc:Choice>
  </mc:AlternateContent>
  <xr:revisionPtr revIDLastSave="0" documentId="8_{134420DE-9602-4721-8D96-6259427FF7B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sumen" sheetId="1" r:id="rId1"/>
    <sheet name="Asignación detallada" sheetId="2" r:id="rId2"/>
    <sheet name="Perfi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F22" i="1"/>
  <c r="E22" i="1"/>
  <c r="H22" i="1" s="1"/>
  <c r="D22" i="1"/>
  <c r="G21" i="1"/>
  <c r="F21" i="1"/>
  <c r="E21" i="1"/>
  <c r="H21" i="1" s="1"/>
  <c r="D21" i="1"/>
  <c r="G20" i="1"/>
  <c r="F20" i="1"/>
  <c r="E20" i="1"/>
  <c r="H20" i="1" s="1"/>
  <c r="D20" i="1"/>
  <c r="G19" i="1"/>
  <c r="F19" i="1"/>
  <c r="E19" i="1"/>
  <c r="H19" i="1" s="1"/>
  <c r="D19" i="1"/>
  <c r="G18" i="1"/>
  <c r="F18" i="1"/>
  <c r="E18" i="1"/>
  <c r="H18" i="1" s="1"/>
  <c r="D18" i="1"/>
  <c r="G17" i="1"/>
  <c r="F17" i="1"/>
  <c r="E17" i="1"/>
  <c r="H17" i="1" s="1"/>
  <c r="D17" i="1"/>
  <c r="G16" i="1"/>
  <c r="F16" i="1"/>
  <c r="E16" i="1"/>
  <c r="H16" i="1" s="1"/>
  <c r="D16" i="1"/>
  <c r="G15" i="1"/>
  <c r="F15" i="1"/>
  <c r="E15" i="1"/>
  <c r="H15" i="1" s="1"/>
  <c r="D15" i="1"/>
  <c r="G14" i="1"/>
  <c r="F14" i="1"/>
  <c r="E14" i="1"/>
  <c r="H14" i="1" s="1"/>
  <c r="D14" i="1"/>
  <c r="G13" i="1"/>
  <c r="F13" i="1"/>
  <c r="E13" i="1"/>
  <c r="H13" i="1" s="1"/>
  <c r="D13" i="1"/>
  <c r="G12" i="1"/>
  <c r="F12" i="1"/>
  <c r="E12" i="1"/>
  <c r="H12" i="1" s="1"/>
  <c r="D12" i="1"/>
  <c r="G11" i="1"/>
  <c r="F11" i="1"/>
  <c r="E11" i="1"/>
  <c r="H11" i="1" s="1"/>
  <c r="D11" i="1"/>
  <c r="G10" i="1"/>
  <c r="F10" i="1"/>
  <c r="E10" i="1"/>
  <c r="H10" i="1" s="1"/>
  <c r="D10" i="1"/>
  <c r="G9" i="1"/>
  <c r="F9" i="1"/>
  <c r="E9" i="1"/>
  <c r="H9" i="1" s="1"/>
  <c r="D9" i="1"/>
  <c r="G8" i="1"/>
  <c r="F8" i="1"/>
  <c r="E8" i="1"/>
  <c r="H8" i="1" s="1"/>
  <c r="D8" i="1"/>
  <c r="G7" i="1"/>
  <c r="F7" i="1"/>
  <c r="E7" i="1"/>
  <c r="H7" i="1" s="1"/>
  <c r="D7" i="1"/>
  <c r="G6" i="1"/>
  <c r="F6" i="1"/>
  <c r="E6" i="1"/>
  <c r="H6" i="1" s="1"/>
  <c r="D6" i="1"/>
  <c r="G5" i="1"/>
  <c r="F5" i="1"/>
  <c r="E5" i="1"/>
  <c r="H5" i="1" s="1"/>
  <c r="D5" i="1"/>
</calcChain>
</file>

<file path=xl/sharedStrings.xml><?xml version="1.0" encoding="utf-8"?>
<sst xmlns="http://schemas.openxmlformats.org/spreadsheetml/2006/main" count="1866" uniqueCount="566">
  <si>
    <t>Propuesta inicial de asignación de actividades — PAC Medellín</t>
  </si>
  <si>
    <t>Base editable para validación con líderes. Cada entregable: 85% elaboración + 10% revisión María José/Guillermo + 5% revisión final Juana–SMA.</t>
  </si>
  <si>
    <t>Componente</t>
  </si>
  <si>
    <t>ID</t>
  </si>
  <si>
    <t>Entregable</t>
  </si>
  <si>
    <t>N.º actividades</t>
  </si>
  <si>
    <t>Elaboración</t>
  </si>
  <si>
    <t>Revisión y aval</t>
  </si>
  <si>
    <t>Revisión SMA</t>
  </si>
  <si>
    <t>Total</t>
  </si>
  <si>
    <t>C1</t>
  </si>
  <si>
    <t>P1</t>
  </si>
  <si>
    <t>Documento de caracterización socioeconómica, vulnerabilidad y brechas de equidad para la acción climática</t>
  </si>
  <si>
    <t>P2</t>
  </si>
  <si>
    <t>Capítulo de diagnóstico y prospectiva climática consolidado</t>
  </si>
  <si>
    <t>C2</t>
  </si>
  <si>
    <t>P3</t>
  </si>
  <si>
    <t>Capítulo de direccionamiento estratégico del PAC ajustado</t>
  </si>
  <si>
    <t>P4</t>
  </si>
  <si>
    <t>Matriz de coherencia estratégica del Plan</t>
  </si>
  <si>
    <t>C3</t>
  </si>
  <si>
    <t>P5</t>
  </si>
  <si>
    <t>Catálogo caracterizado de medidas de mitigación y adaptación</t>
  </si>
  <si>
    <t>P6</t>
  </si>
  <si>
    <t>Documento técnico de priorización de medidas mediante AHP/ANP</t>
  </si>
  <si>
    <t>P7</t>
  </si>
  <si>
    <t>Hoja de ruta de descarbonización y resiliencia climática al 2050</t>
  </si>
  <si>
    <t>C4</t>
  </si>
  <si>
    <t>P8</t>
  </si>
  <si>
    <t>Hoja de articulación con el sistema de CTeI y agenda de innovación</t>
  </si>
  <si>
    <t>P9</t>
  </si>
  <si>
    <t>Sistema de Gobierno de Datos Climáticos, indicadores y dashboard MERL</t>
  </si>
  <si>
    <t>P10</t>
  </si>
  <si>
    <t>Asistente inteligente para consulta y trazabilidad de información climática</t>
  </si>
  <si>
    <t>C5</t>
  </si>
  <si>
    <t>P11</t>
  </si>
  <si>
    <t>Matriz de gestión de riesgos y barreras para la implementación</t>
  </si>
  <si>
    <t>P12</t>
  </si>
  <si>
    <t>Cartera priorizada de proyectos climáticos bancables</t>
  </si>
  <si>
    <t>P13</t>
  </si>
  <si>
    <t>Plan Financiero y Estrategia de Movilización de Recursos</t>
  </si>
  <si>
    <t>P14</t>
  </si>
  <si>
    <t>Documento técnico de formulación del Sistema MERL</t>
  </si>
  <si>
    <t>C6</t>
  </si>
  <si>
    <t>P15</t>
  </si>
  <si>
    <t>Memoria del proceso participativo y estrategia de comunicación y divulgación</t>
  </si>
  <si>
    <t>P16</t>
  </si>
  <si>
    <t>Versión ciudadana del PAC</t>
  </si>
  <si>
    <t>P17</t>
  </si>
  <si>
    <t>Publicación digital del PAC actualizado</t>
  </si>
  <si>
    <t>P18</t>
  </si>
  <si>
    <t>Documento divulgativo de la Evaluación de Riesgos Climáticos</t>
  </si>
  <si>
    <t>Matriz detallada de actividades, responsables, pesos, fechas y evidencias</t>
  </si>
  <si>
    <t>Fechas propuestas a partir de la línea base de la plataforma PAC; deben validarse con los responsables. Los pesos corresponden a actividades del entregable, no a honorarios.</t>
  </si>
  <si>
    <t>Comp.</t>
  </si>
  <si>
    <t>ID entregable</t>
  </si>
  <si>
    <t>ID actividad</t>
  </si>
  <si>
    <t>Etapa</t>
  </si>
  <si>
    <t>Actividad específica</t>
  </si>
  <si>
    <t>Responsable(s) principal(es)</t>
  </si>
  <si>
    <t>Apoyos</t>
  </si>
  <si>
    <t>Peso</t>
  </si>
  <si>
    <t>Fecha inicio</t>
  </si>
  <si>
    <t>Fecha fin</t>
  </si>
  <si>
    <t>Evidencia / criterio de terminado</t>
  </si>
  <si>
    <t>Actividad contractual de origen</t>
  </si>
  <si>
    <t>Observación</t>
  </si>
  <si>
    <t>Evidencia, Diagnóstico y Prospectiva Climática</t>
  </si>
  <si>
    <t>P1-A01</t>
  </si>
  <si>
    <t>Revisar y organizar los insumos documentales, bases y antecedentes requeridos para la caracterización</t>
  </si>
  <si>
    <t>Sebastián Cartagena y Marcos Arango Tamayo</t>
  </si>
  <si>
    <t>Paola Andrea Ruiz Franco</t>
  </si>
  <si>
    <t>Matriz de fuentes e insumos con vacíos identificados</t>
  </si>
  <si>
    <t>Evidencia climática, trayectorias de emisiones, riesgos climáticos, caracterización socioeconómica y vulnerabilidad territorial.</t>
  </si>
  <si>
    <t>Propuesta inicial</t>
  </si>
  <si>
    <t>P1-A02</t>
  </si>
  <si>
    <t>Consolidar inventarios de GEI y analizar trayectorias de emisiones 2030, 2040 y 2050</t>
  </si>
  <si>
    <t>Juliana Valencia</t>
  </si>
  <si>
    <t>Marcos Arango Tamayo</t>
  </si>
  <si>
    <t>Memoria técnica, tablas y gráficos de emisiones</t>
  </si>
  <si>
    <t>P1-A03</t>
  </si>
  <si>
    <t>Integrar riesgos climáticos, adaptación, recurso hídrico, biodiversidad y soluciones basadas en la naturaleza</t>
  </si>
  <si>
    <t>Vanessa García Leoz y Jeiner de Jesús Castellanos Barliza</t>
  </si>
  <si>
    <t>Harlem Acevedo Agudelo</t>
  </si>
  <si>
    <t>Sección técnica integrada y matriz de hallazgos</t>
  </si>
  <si>
    <t>P1-A04</t>
  </si>
  <si>
    <t>Desarrollar la caracterización socioeconómica con enfoque diferencial, equidad y justicia climática</t>
  </si>
  <si>
    <t>Sebastián Cartagena</t>
  </si>
  <si>
    <t>Sección socioeconómica y matriz de población vulnerable</t>
  </si>
  <si>
    <t>P1-A05</t>
  </si>
  <si>
    <t>Realizar el análisis territorial y geoespacial de vulnerabilidad y capacidad adaptativa</t>
  </si>
  <si>
    <t>Jeiner de Jesús Castellanos Barliza</t>
  </si>
  <si>
    <t>Mapas, capas y síntesis territorial</t>
  </si>
  <si>
    <t>P1-A06</t>
  </si>
  <si>
    <t>Integrar y redactar el documento de caracterización</t>
  </si>
  <si>
    <t>Juliana Valencia y Sebastián Cartagena</t>
  </si>
  <si>
    <t>Borrador técnico completo de P1</t>
  </si>
  <si>
    <t>P1-R01</t>
  </si>
  <si>
    <t>Revisar integralmente la calidad técnica, coherencia, trazabilidad contractual y suficiencia del entregable</t>
  </si>
  <si>
    <t>María José Suárez y Guillermo Penagos</t>
  </si>
  <si>
    <t>Responsables técnicos del entregable</t>
  </si>
  <si>
    <t>Concepto consolidado de revisión y aval</t>
  </si>
  <si>
    <t>Control de calidad previo al envío oficial</t>
  </si>
  <si>
    <t>P1-R02</t>
  </si>
  <si>
    <t>Revisión final Secretaría</t>
  </si>
  <si>
    <t>Realizar la revisión final institucional y emitir observaciones o conformidad para el cierre del entregable</t>
  </si>
  <si>
    <t>Juana — Secretaría de Medio Ambiente</t>
  </si>
  <si>
    <t>María José Suárez y Paola Andrea Ruiz Franco</t>
  </si>
  <si>
    <t>Concepto u observaciones finales de la Secretaría</t>
  </si>
  <si>
    <t>Revisión final antes del cierre oficial</t>
  </si>
  <si>
    <t>Nombre completo de Juana por confirmar</t>
  </si>
  <si>
    <t>P2-A01</t>
  </si>
  <si>
    <t>Revisar la consistencia y suficiencia de los insumos que alimentan el diagnóstico consolidado</t>
  </si>
  <si>
    <t>Lista de chequeo y matriz de vacíos</t>
  </si>
  <si>
    <t>Consolidación del diagnóstico y la prospectiva climática a partir de la evidencia generada para C1.</t>
  </si>
  <si>
    <t>P2-A02</t>
  </si>
  <si>
    <t>Consolidar la evidencia climática, hidrológica y las trayectorias de emisiones</t>
  </si>
  <si>
    <t>Síntesis de evidencia y escenarios</t>
  </si>
  <si>
    <t>P2-A03</t>
  </si>
  <si>
    <t>Integrar los resultados de vulnerabilidad, adaptación, biodiversidad y recurso hídrico</t>
  </si>
  <si>
    <t>Vanessa García Leoz</t>
  </si>
  <si>
    <t>Jeiner de Jesús Castellanos Barliza y Harlem Acevedo Agudelo</t>
  </si>
  <si>
    <t>Síntesis de vulnerabilidad y adaptación</t>
  </si>
  <si>
    <t>P2-A04</t>
  </si>
  <si>
    <t>Construir la lectura prospectiva territorial y sectorial</t>
  </si>
  <si>
    <t>Escenarios y conclusiones prospectivas</t>
  </si>
  <si>
    <t>P2-A05</t>
  </si>
  <si>
    <t>Estructurar y redactar el capítulo consolidado de diagnóstico y prospectiva</t>
  </si>
  <si>
    <t>Borrador técnico completo de P2</t>
  </si>
  <si>
    <t>P2-R01</t>
  </si>
  <si>
    <t>P2-R02</t>
  </si>
  <si>
    <t>Estructura Estratégica</t>
  </si>
  <si>
    <t>P3-A01</t>
  </si>
  <si>
    <t>Revisar el diagnóstico, los instrumentos vigentes y las restricciones de implementación</t>
  </si>
  <si>
    <t>Sebastián Cartagena y Paola Andrea Ruiz Franco</t>
  </si>
  <si>
    <t>Matriz de referentes y restricciones</t>
  </si>
  <si>
    <t>Objetivos SMART, teoría de cambio, cadena de valor, medidas de gestión y enfoques transversales.</t>
  </si>
  <si>
    <t>P3-A02</t>
  </si>
  <si>
    <t>Definir y reformular objetivos estratégicos y sectoriales bajo criterios SMART</t>
  </si>
  <si>
    <t>Matriz de objetivos SMART</t>
  </si>
  <si>
    <t>P3-A03</t>
  </si>
  <si>
    <t>Actualizar la teoría de cambio y la cadena de valor del PAC</t>
  </si>
  <si>
    <t>Teoría de cambio y cadena de valor ajustadas</t>
  </si>
  <si>
    <t>P3-A04</t>
  </si>
  <si>
    <t>Definir medidas de gestión, medios e instrumentos de implementación</t>
  </si>
  <si>
    <t>Jeiner de Jesús Castellanos Barliza y Vanessa García Leoz</t>
  </si>
  <si>
    <t>Matriz de instrumentos de implementación</t>
  </si>
  <si>
    <t>P3-A05</t>
  </si>
  <si>
    <t>Incorporar resiliencia, biodiversidad, economía circular y transición energética</t>
  </si>
  <si>
    <t>Matriz de transversalización</t>
  </si>
  <si>
    <t>P3-A06</t>
  </si>
  <si>
    <t>Integrar y redactar el capítulo de direccionamiento estratégico</t>
  </si>
  <si>
    <t>Borrador técnico completo de P3</t>
  </si>
  <si>
    <t>P3-R01</t>
  </si>
  <si>
    <t>P3-R02</t>
  </si>
  <si>
    <t>P4-A01</t>
  </si>
  <si>
    <t>Definir la estructura, campos y reglas de diligenciamiento de la matriz de coherencia</t>
  </si>
  <si>
    <t>Paola Andrea Ruiz Franco y Sebastián Cartagena</t>
  </si>
  <si>
    <t>Diana Carolina Ríos Echeverri</t>
  </si>
  <si>
    <t>Plantilla y criterios de coherencia</t>
  </si>
  <si>
    <t>Coherencia entre objetivos, acciones, medidas e instrumentos de implementación.</t>
  </si>
  <si>
    <t>P4-A02</t>
  </si>
  <si>
    <t>Relacionar objetivos estratégicos, objetivos sectoriales, acciones y medidas</t>
  </si>
  <si>
    <t>Matriz de relaciones diligenciada</t>
  </si>
  <si>
    <t>P4-A03</t>
  </si>
  <si>
    <t>Verificar coherencia con el diagnóstico, escenarios y enfoque territorial</t>
  </si>
  <si>
    <t>Juliana Valencia y Marcos Arango Tamayo</t>
  </si>
  <si>
    <t>Concepto de coherencia técnica</t>
  </si>
  <si>
    <t>P4-A04</t>
  </si>
  <si>
    <t>Verificar articulación con priorización, financiamiento, implementación y MERL</t>
  </si>
  <si>
    <t>Alejandro Silva Cortés y Daniel González Montoya</t>
  </si>
  <si>
    <t>Matriz de articulación transversal</t>
  </si>
  <si>
    <t>P4-A05</t>
  </si>
  <si>
    <t>Consolidar, depurar y documentar la matriz final</t>
  </si>
  <si>
    <t>Matriz P4 completa y memoria metodológica</t>
  </si>
  <si>
    <t>P4-R01</t>
  </si>
  <si>
    <t>P4-R02</t>
  </si>
  <si>
    <t>Identificación y Priorización de Medidas de Mitigación y Adaptación</t>
  </si>
  <si>
    <t>P5-A01</t>
  </si>
  <si>
    <t>Revisar instrumentos, HIA, inventarios y antecedentes de medidas</t>
  </si>
  <si>
    <t>Matriz de fuentes y medidas candidatas</t>
  </si>
  <si>
    <t>Inventario y fichas de medidas, HIA, potencial GEI, resiliencia, territorialización, costos y financiación.</t>
  </si>
  <si>
    <t>P5-A02</t>
  </si>
  <si>
    <t>Consolidar y depurar el inventario sectorial de medidas de mitigación y adaptación</t>
  </si>
  <si>
    <t>Juliana Valencia y Vanessa García Leoz</t>
  </si>
  <si>
    <t>Inventario consolidado y clasificado</t>
  </si>
  <si>
    <t>P5-A03</t>
  </si>
  <si>
    <t>Caracterizar técnicamente medidas, SbN, biodiversidad, recurso hídrico y construcción sostenible</t>
  </si>
  <si>
    <t>Fichas técnicas sectoriales</t>
  </si>
  <si>
    <t>P5-A04</t>
  </si>
  <si>
    <t>Estimar el potencial de reducción de GEI por medida y sector</t>
  </si>
  <si>
    <t>Memoria de cálculo de tCO2e</t>
  </si>
  <si>
    <t>P5-A05</t>
  </si>
  <si>
    <t>Valorar resiliencia, vulnerabilidad y territorialización de las medidas</t>
  </si>
  <si>
    <t>Vanessa García Leoz y Marcos Arango Tamayo</t>
  </si>
  <si>
    <t>Matriz de adaptación y territorialización</t>
  </si>
  <si>
    <t>P5-A06</t>
  </si>
  <si>
    <t>Estimar costos preliminares e identificar fuentes de financiación</t>
  </si>
  <si>
    <t>Alejandro Silva Cortés</t>
  </si>
  <si>
    <t>Campos de costos y financiación diligenciados</t>
  </si>
  <si>
    <t>P5-A07</t>
  </si>
  <si>
    <t>Integrar, normalizar y redactar el catálogo y sus fichas</t>
  </si>
  <si>
    <t>Catálogo P5 consolidado</t>
  </si>
  <si>
    <t>P5-R01</t>
  </si>
  <si>
    <t>P5-R02</t>
  </si>
  <si>
    <t>P6-A01</t>
  </si>
  <si>
    <t>Definir criterios, subcriterios, escalas y reglas del modelo AHP/ANP</t>
  </si>
  <si>
    <t>Juliana Valencia y Alejandro Silva Cortés</t>
  </si>
  <si>
    <t>Marco de criterios y escalas</t>
  </si>
  <si>
    <t>Diseño y aplicación del análisis multicriterio AHP/ANP para priorizar medidas.</t>
  </si>
  <si>
    <t>P6-A02</t>
  </si>
  <si>
    <t>Preparar y validar la matriz de datos de las medidas candidatas</t>
  </si>
  <si>
    <t>Juliana Valencia, Vanessa García Leoz y Jeiner de Jesús Castellanos Barliza</t>
  </si>
  <si>
    <t>Base normalizada para el modelo</t>
  </si>
  <si>
    <t>P6-A03</t>
  </si>
  <si>
    <t>Construir y parametrizar el modelo de priorización multicriterio</t>
  </si>
  <si>
    <t>Modelo AHP/ANP documentado</t>
  </si>
  <si>
    <t>P6-A04</t>
  </si>
  <si>
    <t>Diseñar y facilitar la valoración y ponderación con actores expertos</t>
  </si>
  <si>
    <t>Instrumentos y acta de ponderación</t>
  </si>
  <si>
    <t>P6-A05</t>
  </si>
  <si>
    <t>Realizar análisis de consistencia, sensibilidad y robustez</t>
  </si>
  <si>
    <t>Informe de sensibilidad</t>
  </si>
  <si>
    <t>P6-A06</t>
  </si>
  <si>
    <t>Interpretar resultados y redactar el documento de priorización</t>
  </si>
  <si>
    <t>Marcos Arango Tamayo y Paola Andrea Ruiz Franco</t>
  </si>
  <si>
    <t>Documento técnico P6 y ranking final</t>
  </si>
  <si>
    <t>P6-R01</t>
  </si>
  <si>
    <t>P6-R02</t>
  </si>
  <si>
    <t>P7-A01</t>
  </si>
  <si>
    <t>Definir supuestos y escenarios de descarbonización y resiliencia al 2050</t>
  </si>
  <si>
    <t>Documento de supuestos y escenarios</t>
  </si>
  <si>
    <t>Escenarios y trayectorias de descarbonización y resiliencia para corto, mediano y largo plazo.</t>
  </si>
  <si>
    <t>P7-A02</t>
  </si>
  <si>
    <t>Construir la trayectoria sectorial de mitigación y transición sostenible</t>
  </si>
  <si>
    <t>Juliana Valencia y Harlem Acevedo Agudelo</t>
  </si>
  <si>
    <t>Trayectoria de mitigación</t>
  </si>
  <si>
    <t>P7-A03</t>
  </si>
  <si>
    <t>Construir la trayectoria de adaptación, recurso hídrico, biodiversidad y SbN</t>
  </si>
  <si>
    <t>Trayectoria de adaptación y resiliencia</t>
  </si>
  <si>
    <t>P7-A04</t>
  </si>
  <si>
    <t>Territorializar medidas e hitos de corto, mediano y largo plazo</t>
  </si>
  <si>
    <t>Mapas y secuencia territorial</t>
  </si>
  <si>
    <t>P7-A05</t>
  </si>
  <si>
    <t>Evaluar viabilidad económica, institucional y financiera de la hoja de ruta</t>
  </si>
  <si>
    <t>Alejandro Silva Cortés y Diana Carolina Ríos Echeverri</t>
  </si>
  <si>
    <t>Matriz de viabilidad</t>
  </si>
  <si>
    <t>P7-A06</t>
  </si>
  <si>
    <t>Integrar y redactar la hoja de ruta con metas, responsables e hitos</t>
  </si>
  <si>
    <t>Paola Andrea Ruiz Franco y Juliana Valencia</t>
  </si>
  <si>
    <t>Borrador técnico completo de P7</t>
  </si>
  <si>
    <t>P7-R01</t>
  </si>
  <si>
    <t>P7-R02</t>
  </si>
  <si>
    <t>Integración de Ciencia, Tecnología e Innovación (CTeI)</t>
  </si>
  <si>
    <t>P8-A01</t>
  </si>
  <si>
    <t>Revisar políticas, planes, capacidades y actores del sistema distrital de CTeI</t>
  </si>
  <si>
    <t>Daniel González Montoya</t>
  </si>
  <si>
    <t>Mapa documental e institucional</t>
  </si>
  <si>
    <t>Armonización CTeI, retos de innovación, apropiación social y tecnologías emergentes.</t>
  </si>
  <si>
    <t>P8-A02</t>
  </si>
  <si>
    <t>Identificar retos climáticos susceptibles de innovación y tecnologías emergentes</t>
  </si>
  <si>
    <t>Daniel González Montoya y Sebastián Cartagena</t>
  </si>
  <si>
    <t>Luis Eduardo Vahos Hernández</t>
  </si>
  <si>
    <t>Portafolio de retos de innovación</t>
  </si>
  <si>
    <t>P8-A03</t>
  </si>
  <si>
    <t>Definir mecanismos de articulación academia–Estado–empresa–sociedad</t>
  </si>
  <si>
    <t>Modelo de articulación CTeI</t>
  </si>
  <si>
    <t>P8-A04</t>
  </si>
  <si>
    <t>Diseñar la estrategia de apropiación social del conocimiento climático</t>
  </si>
  <si>
    <t>Liliana Restrepo</t>
  </si>
  <si>
    <t>Estrategia de apropiación social</t>
  </si>
  <si>
    <t>P8-A05</t>
  </si>
  <si>
    <t>Identificar oportunidades de IA, analítica, sistemas de información y Cuarta Revolución Industrial</t>
  </si>
  <si>
    <t>Luis Eduardo Vahos Hernández y León Darío Orrego Espejo</t>
  </si>
  <si>
    <t>Mapa de oportunidades tecnológicas</t>
  </si>
  <si>
    <t>P8-A06</t>
  </si>
  <si>
    <t>Integrar y redactar la hoja de articulación y agenda de innovación</t>
  </si>
  <si>
    <t>Daniel González Montoya y Liliana Restrepo</t>
  </si>
  <si>
    <t>Borrador técnico completo de P8</t>
  </si>
  <si>
    <t>P8-R01</t>
  </si>
  <si>
    <t>P8-R02</t>
  </si>
  <si>
    <t>P9-A01</t>
  </si>
  <si>
    <t>Levantar requerimientos de información, indicadores, usuarios y entidades proveedoras</t>
  </si>
  <si>
    <t>Matriz de requerimientos</t>
  </si>
  <si>
    <t>Gobierno, interoperabilidad, indicadores y plataforma de seguimiento de datos climáticos.</t>
  </si>
  <si>
    <t>P9-A02</t>
  </si>
  <si>
    <t>Diseñar el modelo de gobierno de datos, roles, políticas y calidad</t>
  </si>
  <si>
    <t>León Darío Orrego Espejo</t>
  </si>
  <si>
    <t>Modelo de gobierno de datos</t>
  </si>
  <si>
    <t>P9-A03</t>
  </si>
  <si>
    <t>Diseñar la arquitectura de información e interoperabilidad</t>
  </si>
  <si>
    <t>León Darío Orrego Espejo y Luis Eduardo Vahos Hernández</t>
  </si>
  <si>
    <t>Arquitectura y flujos de datos</t>
  </si>
  <si>
    <t>P9-A04</t>
  </si>
  <si>
    <t>Definir indicadores y prototipar el dashboard de seguimiento MERL</t>
  </si>
  <si>
    <t>Daniel González Montoya y León Darío Orrego Espejo</t>
  </si>
  <si>
    <t>Catálogo de indicadores y prototipo</t>
  </si>
  <si>
    <t>P9-A05</t>
  </si>
  <si>
    <t>Definir protocolos de trazabilidad, seguridad, actualización y control de calidad</t>
  </si>
  <si>
    <t>Protocolos de datos</t>
  </si>
  <si>
    <t>P9-A06</t>
  </si>
  <si>
    <t>Documentar, probar y ajustar el sistema propuesto</t>
  </si>
  <si>
    <t>Documento técnico y pruebas de P9</t>
  </si>
  <si>
    <t>P9-R01</t>
  </si>
  <si>
    <t>P9-R02</t>
  </si>
  <si>
    <t>P10-A01</t>
  </si>
  <si>
    <t>Definir usuarios, necesidades, preguntas y casos de uso del asistente</t>
  </si>
  <si>
    <t>Sebastián Cartagena y Daniel González Montoya</t>
  </si>
  <si>
    <t>Catálogo de casos de uso</t>
  </si>
  <si>
    <t>Herramientas inteligentes para consulta, trazabilidad y gestión del conocimiento climático.</t>
  </si>
  <si>
    <t>P10-A02</t>
  </si>
  <si>
    <t>Seleccionar, organizar y gobernar las fuentes de conocimiento climático</t>
  </si>
  <si>
    <t>Inventario y modelo de fuentes</t>
  </si>
  <si>
    <t>P10-A03</t>
  </si>
  <si>
    <t>Diseñar la arquitectura de IA, búsqueda, analítica y trazabilidad</t>
  </si>
  <si>
    <t>Diseño funcional y técnico</t>
  </si>
  <si>
    <t>P10-A04</t>
  </si>
  <si>
    <t>Desarrollar o configurar el prototipo funcional del asistente</t>
  </si>
  <si>
    <t>Prototipo funcional</t>
  </si>
  <si>
    <t>P10-A05</t>
  </si>
  <si>
    <t>Ejecutar pruebas de precisión, usabilidad, seguridad y trazabilidad</t>
  </si>
  <si>
    <t>Liliana Restrepo y Sebastián Cartagena</t>
  </si>
  <si>
    <t>Informe de pruebas y ajustes</t>
  </si>
  <si>
    <t>P10-A06</t>
  </si>
  <si>
    <t>Elaborar documentación técnica, manual de uso y memoria del producto</t>
  </si>
  <si>
    <t>Documentación completa de P10</t>
  </si>
  <si>
    <t>P10-R01</t>
  </si>
  <si>
    <t>P10-R02</t>
  </si>
  <si>
    <t>Implementación, Financiamiento y Sistema MERL</t>
  </si>
  <si>
    <t>P11-A01</t>
  </si>
  <si>
    <t>Definir taxonomía, metodología y escalas para valorar riesgos y barreras</t>
  </si>
  <si>
    <t>Metodología de valoración</t>
  </si>
  <si>
    <t>Barreras y riesgos normativos, técnicos, institucionales, financieros y sociales, con acciones de mitigación.</t>
  </si>
  <si>
    <t>P11-A02</t>
  </si>
  <si>
    <t>Identificar barreras normativas, institucionales, políticas y de gobernanza</t>
  </si>
  <si>
    <t>Matriz de barreras institucionales</t>
  </si>
  <si>
    <t>P11-A03</t>
  </si>
  <si>
    <t>Identificar barreras técnicas, climáticas, territoriales y de apropiación social</t>
  </si>
  <si>
    <t>Jeiner de Jesús Castellanos Barliza y Liliana Restrepo</t>
  </si>
  <si>
    <t>Matriz de barreras técnicas y sociales</t>
  </si>
  <si>
    <t>P11-A04</t>
  </si>
  <si>
    <t>Analizar riesgos financieros, costos, mercado y acceso a recursos</t>
  </si>
  <si>
    <t>Matriz de riesgos financieros</t>
  </si>
  <si>
    <t>P11-A05</t>
  </si>
  <si>
    <t>Diseñar acciones de mitigación, responsables y controles</t>
  </si>
  <si>
    <t>Diana Carolina Ríos Echeverri y Alejandro Silva Cortés</t>
  </si>
  <si>
    <t>Plan de tratamiento de riesgos</t>
  </si>
  <si>
    <t>P11-A06</t>
  </si>
  <si>
    <t>Consolidar y redactar la matriz y su memoria técnica</t>
  </si>
  <si>
    <t>Documento y matriz P11</t>
  </si>
  <si>
    <t>P11-R01</t>
  </si>
  <si>
    <t>P11-R02</t>
  </si>
  <si>
    <t>P12-A01</t>
  </si>
  <si>
    <t>Definir criterios de elegibilidad, viabilidad y bancabilidad</t>
  </si>
  <si>
    <t>Marco de criterios</t>
  </si>
  <si>
    <t>Estructuración de proyectos bajo criterios de viabilidad y bancabilidad.</t>
  </si>
  <si>
    <t>P12-A02</t>
  </si>
  <si>
    <t>Seleccionar y perfilar proyectos derivados de las medidas priorizadas</t>
  </si>
  <si>
    <t>Fichas preliminares de proyectos</t>
  </si>
  <si>
    <t>P12-A03</t>
  </si>
  <si>
    <t>Estimar CAPEX, OPEX, flujos y necesidades de inversión</t>
  </si>
  <si>
    <t>Modelo financiero preliminar</t>
  </si>
  <si>
    <t>P12-A04</t>
  </si>
  <si>
    <t>Evaluar barreras, riesgos y viabilidad institucional de cada proyecto</t>
  </si>
  <si>
    <t>P12-A05</t>
  </si>
  <si>
    <t>Relacionar proyectos con fuentes, instrumentos y oportunidades de inversión</t>
  </si>
  <si>
    <t>Mapa proyecto–fuente</t>
  </si>
  <si>
    <t>P12-A06</t>
  </si>
  <si>
    <t>Priorizar, consolidar y redactar la cartera de proyectos bancables</t>
  </si>
  <si>
    <t>Paola Andrea Ruiz Franco y Marcos Arango Tamayo</t>
  </si>
  <si>
    <t>Cartera P12 consolidada</t>
  </si>
  <si>
    <t>P12-R01</t>
  </si>
  <si>
    <t>P12-R02</t>
  </si>
  <si>
    <t>P13-A01</t>
  </si>
  <si>
    <t>Revisar antecedentes, brechas y oportunidades de financiamiento climático</t>
  </si>
  <si>
    <t>Diagnóstico financiero</t>
  </si>
  <si>
    <t>Estrategia de financiamiento, fuentes, instrumentos y movilización de recursos.</t>
  </si>
  <si>
    <t>P13-A02</t>
  </si>
  <si>
    <t>Consolidar necesidades de inversión y costos de implementación</t>
  </si>
  <si>
    <t>Plan de necesidades de inversión</t>
  </si>
  <si>
    <t>P13-A03</t>
  </si>
  <si>
    <t>Identificar y caracterizar fuentes públicas, privadas y de cooperación</t>
  </si>
  <si>
    <t>Mapa de fuentes</t>
  </si>
  <si>
    <t>P13-A04</t>
  </si>
  <si>
    <t>Diseñar instrumentos y mecanismos de movilización de recursos</t>
  </si>
  <si>
    <t>Portafolio de instrumentos</t>
  </si>
  <si>
    <t>P13-A05</t>
  </si>
  <si>
    <t>Definir gobernanza, responsables, metas y hoja de ruta financiera</t>
  </si>
  <si>
    <t>Hoja de ruta financiera</t>
  </si>
  <si>
    <t>P13-A06</t>
  </si>
  <si>
    <t>Integrar y redactar el Plan Financiero y la Estrategia de Movilización</t>
  </si>
  <si>
    <t>Borrador técnico completo de P13</t>
  </si>
  <si>
    <t>P13-R01</t>
  </si>
  <si>
    <t>P13-R02</t>
  </si>
  <si>
    <t>P14-A01</t>
  </si>
  <si>
    <t>Diseñar la estructura institucional y la gobernanza del Sistema MERL</t>
  </si>
  <si>
    <t>Modelo de gobernanza MERL</t>
  </si>
  <si>
    <t>Gobernanza MERL, indicadores, interoperabilidad, protocolos y responsabilidades de reporte.</t>
  </si>
  <si>
    <t>P14-A02</t>
  </si>
  <si>
    <t>Revisar, ajustar y concertar la batería de indicadores</t>
  </si>
  <si>
    <t>Daniel González Montoya y Juliana Valencia</t>
  </si>
  <si>
    <t>Ficha y matriz de indicadores</t>
  </si>
  <si>
    <t>P14-A03</t>
  </si>
  <si>
    <t>Definir arquitectura, interoperabilidad y calidad de datos</t>
  </si>
  <si>
    <t>Arquitectura de datos MERL</t>
  </si>
  <si>
    <t>P14-A04</t>
  </si>
  <si>
    <t>Diseñar protocolos de reporte, validación, seguimiento y actualización</t>
  </si>
  <si>
    <t>Protocolos MERL</t>
  </si>
  <si>
    <t>P14-A05</t>
  </si>
  <si>
    <t>Asignar roles, periodicidades, flujos de decisión y mecanismos de aprendizaje</t>
  </si>
  <si>
    <t>Matriz RACI y calendario de reporte</t>
  </si>
  <si>
    <t>P14-A06</t>
  </si>
  <si>
    <t>Integrar y redactar el documento técnico del Sistema MERL</t>
  </si>
  <si>
    <t>Borrador técnico completo de P14</t>
  </si>
  <si>
    <t>P14-R01</t>
  </si>
  <si>
    <t>P14-R02</t>
  </si>
  <si>
    <t>Participación, Gobernanza y Comunicación</t>
  </si>
  <si>
    <t>P15-A01</t>
  </si>
  <si>
    <t>Diseñar metodología, agenda e instrumentos de participación</t>
  </si>
  <si>
    <t>Paola Andrea Ruiz Franco y Liliana Restrepo</t>
  </si>
  <si>
    <t>Plan e instrumentos de participación</t>
  </si>
  <si>
    <t>Participación, validación social, comunicación, divulgación y memoria del proceso.</t>
  </si>
  <si>
    <t>P15-A02</t>
  </si>
  <si>
    <t>Identificar, caracterizar y convocar actores clave</t>
  </si>
  <si>
    <t>Mapa y registro de actores</t>
  </si>
  <si>
    <t>P15-A03</t>
  </si>
  <si>
    <t>Implementar y documentar espacios de participación</t>
  </si>
  <si>
    <t>Liliana Restrepo y Paola Andrea Ruiz Franco</t>
  </si>
  <si>
    <t>Equipo técnico por temática</t>
  </si>
  <si>
    <t>Actas, registros y sistematización</t>
  </si>
  <si>
    <t>P15-A04</t>
  </si>
  <si>
    <t>Coordinar la validación técnica y social de resultados</t>
  </si>
  <si>
    <t>Sebastián Cartagena y líderes técnicos</t>
  </si>
  <si>
    <t>Matriz de observaciones y respuestas</t>
  </si>
  <si>
    <t>P15-A05</t>
  </si>
  <si>
    <t>Diseñar la estrategia de comunicación y divulgación</t>
  </si>
  <si>
    <t>Estrategia de comunicación</t>
  </si>
  <si>
    <t>P15-A06</t>
  </si>
  <si>
    <t>Sistematizar y redactar la memoria del proceso participativo</t>
  </si>
  <si>
    <t>Borrador técnico completo de P15</t>
  </si>
  <si>
    <t>P15-R01</t>
  </si>
  <si>
    <t>P15-R02</t>
  </si>
  <si>
    <t>P16-A01</t>
  </si>
  <si>
    <t>Definir públicos, objetivos comunicativos, estructura y extensión de la versión ciudadana</t>
  </si>
  <si>
    <t>Guion editorial</t>
  </si>
  <si>
    <t>Traducción ciudadana y apropiación social de los contenidos del PAC.</t>
  </si>
  <si>
    <t>P16-A02</t>
  </si>
  <si>
    <t>Traducir los contenidos técnicos del PAC a lenguaje claro</t>
  </si>
  <si>
    <t>Juliana Valencia, Vanessa García Leoz y Alejandro Silva Cortés</t>
  </si>
  <si>
    <t>Textos ciudadanos por capítulo</t>
  </si>
  <si>
    <t>P16-A03</t>
  </si>
  <si>
    <t>Diseñar narrativa, mensajes clave y recursos pedagógicos</t>
  </si>
  <si>
    <t>Matriz de mensajes y narrativa</t>
  </si>
  <si>
    <t>P16-A04</t>
  </si>
  <si>
    <t>Diseñar contenidos visuales, infografías y apoyos gráficos</t>
  </si>
  <si>
    <t>Propuesta visual e infografías</t>
  </si>
  <si>
    <t>P16-A05</t>
  </si>
  <si>
    <t>Validar claridad, accesibilidad, enfoque diferencial y pertinencia ciudadana</t>
  </si>
  <si>
    <t>Informe de validación</t>
  </si>
  <si>
    <t>P16-A06</t>
  </si>
  <si>
    <t>Integrar, editar y preparar el borrador de la versión ciudadana</t>
  </si>
  <si>
    <t>Borrador completo de P16</t>
  </si>
  <si>
    <t>P16-R01</t>
  </si>
  <si>
    <t>P16-R02</t>
  </si>
  <si>
    <t>P17-A01</t>
  </si>
  <si>
    <t>Definir plan editorial, arquitectura de publicación y formatos digitales</t>
  </si>
  <si>
    <t>Plan editorial y técnico</t>
  </si>
  <si>
    <t>Diagramación, integración y publicación digital de los documentos finales.</t>
  </si>
  <si>
    <t>P17-A02</t>
  </si>
  <si>
    <t>Consolidar y controlar versiones de contenidos finales</t>
  </si>
  <si>
    <t>Líderes de componentes</t>
  </si>
  <si>
    <t>Paquete editorial validado</t>
  </si>
  <si>
    <t>P17-A03</t>
  </si>
  <si>
    <t>Diseñar arquitectura de información, navegación y accesibilidad</t>
  </si>
  <si>
    <t>Prototipo de navegación</t>
  </si>
  <si>
    <t>P17-A04</t>
  </si>
  <si>
    <t>Diagramar y adaptar contenidos para publicación digital</t>
  </si>
  <si>
    <t>Diagramador por confirmar</t>
  </si>
  <si>
    <t>Artes y piezas diagramadas</t>
  </si>
  <si>
    <t>P17-A05</t>
  </si>
  <si>
    <t>Implementar y publicar la versión digital</t>
  </si>
  <si>
    <t>Publicación digital funcional</t>
  </si>
  <si>
    <t>P17-A06</t>
  </si>
  <si>
    <t>Ejecutar control de calidad editorial, funcional y de accesibilidad</t>
  </si>
  <si>
    <t>Informe de control de calidad</t>
  </si>
  <si>
    <t>P17-R01</t>
  </si>
  <si>
    <t>P17-R02</t>
  </si>
  <si>
    <t>P18-A01</t>
  </si>
  <si>
    <t>Revisar la Evaluación de Riesgos Climáticos y seleccionar hallazgos divulgables</t>
  </si>
  <si>
    <t>Matriz de hallazgos priorizados</t>
  </si>
  <si>
    <t>Traducción y divulgación de la Evaluación de Riesgos Climáticos.</t>
  </si>
  <si>
    <t>P18-A02</t>
  </si>
  <si>
    <t>Definir públicos, mensajes clave y estructura del documento divulgativo</t>
  </si>
  <si>
    <t>Liliana Restrepo y Juliana Valencia</t>
  </si>
  <si>
    <t>Guion y matriz de mensajes</t>
  </si>
  <si>
    <t>P18-A03</t>
  </si>
  <si>
    <t>Traducir amenazas, exposición, vulnerabilidad y adaptación a lenguaje claro</t>
  </si>
  <si>
    <t>Liliana Restrepo y Vanessa García Leoz</t>
  </si>
  <si>
    <t>Textos divulgativos</t>
  </si>
  <si>
    <t>P18-A04</t>
  </si>
  <si>
    <t>Preparar mapas, gráficos y visualizaciones territoriales</t>
  </si>
  <si>
    <t>Paquete de visualizaciones</t>
  </si>
  <si>
    <t>P18-A05</t>
  </si>
  <si>
    <t>Diseñar narrativa, recursos pedagógicos y propuesta gráfica</t>
  </si>
  <si>
    <t>Material de divulgación por confirmar</t>
  </si>
  <si>
    <t>Propuesta editorial y gráfica</t>
  </si>
  <si>
    <t>P18-A06</t>
  </si>
  <si>
    <t>Integrar, validar y preparar el borrador final</t>
  </si>
  <si>
    <t>Borrador completo de P18</t>
  </si>
  <si>
    <t>P18-R01</t>
  </si>
  <si>
    <t>P18-R02</t>
  </si>
  <si>
    <t>Perfiles del equipo utilizados para la asignación</t>
  </si>
  <si>
    <t>Persona</t>
  </si>
  <si>
    <t>Perfil</t>
  </si>
  <si>
    <t>Fortalezas principales</t>
  </si>
  <si>
    <t>Uso propuesto en la matriz</t>
  </si>
  <si>
    <t>María José Suárez</t>
  </si>
  <si>
    <t>Director(a) del Proyecto</t>
  </si>
  <si>
    <t>Dirección técnica y administrativa; articulación institucional</t>
  </si>
  <si>
    <t>Revisión y aval transversal</t>
  </si>
  <si>
    <t>Profesional de Coordinación Técnica</t>
  </si>
  <si>
    <t>Coordinación, seguimiento, sostenibilidad y proyectos CTeI</t>
  </si>
  <si>
    <t>Integración y coordinación técnica</t>
  </si>
  <si>
    <t>Consultora en Evidencia, Diagnóstico y Prospectiva Climática</t>
  </si>
  <si>
    <t>Modelación climática e hidrológica; escenarios</t>
  </si>
  <si>
    <t>Evidencia, emisiones y prospectiva</t>
  </si>
  <si>
    <t>Consultor en SbN y Biodiversidad</t>
  </si>
  <si>
    <t>Ecología, restauración y soluciones basadas en la naturaleza</t>
  </si>
  <si>
    <t>Biodiversidad, SbN y adaptación</t>
  </si>
  <si>
    <t>Profesional de Apoyo Territorial y Geoespacial</t>
  </si>
  <si>
    <t>Hidrología, geoespacial y datos ambientales</t>
  </si>
  <si>
    <t>Territorialización, análisis y consolidación</t>
  </si>
  <si>
    <t>Consultora en Priorización Multicriterio</t>
  </si>
  <si>
    <t>Modelado cuantitativo y análisis de decisiones</t>
  </si>
  <si>
    <t>AHP/ANP, priorización y riesgos</t>
  </si>
  <si>
    <t>Consultor en Gestión de la Construcción</t>
  </si>
  <si>
    <t>Sostenibilidad, construcción, SbN y economía circular</t>
  </si>
  <si>
    <t>Medidas e implementación sostenible</t>
  </si>
  <si>
    <t>Consultora en Recurso Hídrico y Adaptación</t>
  </si>
  <si>
    <t>Ecohidrología, recurso hídrico y cambio climático</t>
  </si>
  <si>
    <t>Adaptación y resiliencia hídrica</t>
  </si>
  <si>
    <t>Consultor en Finanzas Climáticas</t>
  </si>
  <si>
    <t>Evaluación financiera y gestión del riesgo</t>
  </si>
  <si>
    <t>Costos, bancabilidad y financiación</t>
  </si>
  <si>
    <t>Guillermo Penagos</t>
  </si>
  <si>
    <t>Consultor en Planeación Climática, Política Pública y Equidad</t>
  </si>
  <si>
    <t>Planificación, equidad, gobernanza y participación</t>
  </si>
  <si>
    <t>Revisión técnica y de política pública</t>
  </si>
  <si>
    <t>Consultor en IA, Analítica y Transformación Digital</t>
  </si>
  <si>
    <t>IA, analítica de datos y transformación digital</t>
  </si>
  <si>
    <t>IA, dashboard y soluciones digitales</t>
  </si>
  <si>
    <t>Consultor en Sistemas de Información</t>
  </si>
  <si>
    <t>Sistemas, analítica y gestión del conocimiento</t>
  </si>
  <si>
    <t>Arquitectura, datos e interoperabilidad</t>
  </si>
  <si>
    <t>Profesional de Apoyo para Integración de CTeI</t>
  </si>
  <si>
    <t>CTeI, conocimiento y articulación territorial</t>
  </si>
  <si>
    <t>CTeI, indicadores y gobernanza de datos</t>
  </si>
  <si>
    <t>Profesional en instrumentos estratégicos</t>
  </si>
  <si>
    <t>Formulación, seguimiento y coherencia programática</t>
  </si>
  <si>
    <t>Coherencia, revisión documental e integración</t>
  </si>
  <si>
    <t>Innovación social</t>
  </si>
  <si>
    <t>Innovación social, apropiación y comunicación</t>
  </si>
  <si>
    <t>Participación y divulgación</t>
  </si>
  <si>
    <t>Revisora final institucional</t>
  </si>
  <si>
    <t>Revisión institucional del Distrito</t>
  </si>
  <si>
    <t>Revisión final del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</si>
</sst>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6"/>
      <color rgb="FFFFFFFF"/>
      <name val="Carlito"/>
    </font>
    <font>
      <i/>
      <sz val="11"/>
      <color rgb="FF183B56"/>
      <name val="Carlito"/>
    </font>
    <font>
      <b/>
      <sz val="11"/>
      <color rgb="FFFFFFFF"/>
      <name val="Carlito"/>
    </font>
    <font>
      <b/>
      <sz val="15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EAF4F7"/>
      </patternFill>
    </fill>
    <fill>
      <patternFill patternType="solid">
        <fgColor rgb="FF168A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0" xfId="0" applyFont="1" applyFill="1" applyAlignment="1">
      <alignment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9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4" fillId="2" borderId="0" xfId="0" applyFont="1" applyFill="1"/>
  </cellXfs>
  <cellStyles count="1">
    <cellStyle name="Normal" xfId="0" builtinId="0"/>
  </cellStyles>
  <dxfs count="3">
    <dxf>
      <font>
        <b/>
        <color rgb="FF7A5600"/>
      </font>
      <fill>
        <patternFill patternType="solid">
          <bgColor rgb="FFFFF1CC"/>
        </patternFill>
      </fill>
    </dxf>
    <dxf>
      <font>
        <b/>
        <color rgb="FF2A9D6F"/>
      </font>
      <fill>
        <patternFill patternType="solid">
          <bgColor rgb="FFDDF3E8"/>
        </patternFill>
      </fill>
    </dxf>
    <dxf>
      <font>
        <b/>
        <color rgb="FFC94C4C"/>
      </font>
      <fill>
        <patternFill patternType="solid"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dadesPAC" displayName="ActividadesPAC" ref="A4:O147" totalsRowShown="0">
  <tableColumns count="15">
    <tableColumn id="1" xr3:uid="{00000000-0010-0000-0000-000001000000}" name="Comp."/>
    <tableColumn id="2" xr3:uid="{00000000-0010-0000-0000-000002000000}" name="Componente"/>
    <tableColumn id="3" xr3:uid="{00000000-0010-0000-0000-000003000000}" name="ID entregable"/>
    <tableColumn id="4" xr3:uid="{00000000-0010-0000-0000-000004000000}" name="Entregable"/>
    <tableColumn id="5" xr3:uid="{00000000-0010-0000-0000-000005000000}" name="ID actividad"/>
    <tableColumn id="6" xr3:uid="{00000000-0010-0000-0000-000006000000}" name="Etapa"/>
    <tableColumn id="7" xr3:uid="{00000000-0010-0000-0000-000007000000}" name="Actividad específica"/>
    <tableColumn id="8" xr3:uid="{00000000-0010-0000-0000-000008000000}" name="Responsable(s) principal(es)"/>
    <tableColumn id="9" xr3:uid="{00000000-0010-0000-0000-000009000000}" name="Apoyos"/>
    <tableColumn id="10" xr3:uid="{00000000-0010-0000-0000-00000A000000}" name="Peso"/>
    <tableColumn id="11" xr3:uid="{00000000-0010-0000-0000-00000B000000}" name="Fecha inicio"/>
    <tableColumn id="12" xr3:uid="{00000000-0010-0000-0000-00000C000000}" name="Fecha fin"/>
    <tableColumn id="13" xr3:uid="{00000000-0010-0000-0000-00000D000000}" name="Evidencia / criterio de terminado"/>
    <tableColumn id="14" xr3:uid="{00000000-0010-0000-0000-00000E000000}" name="Actividad contractual de origen"/>
    <tableColumn id="15" xr3:uid="{00000000-0010-0000-0000-00000F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rfilesPAC" displayName="PerfilesPAC" ref="A3:D19" totalsRowShown="0">
  <tableColumns count="4">
    <tableColumn id="1" xr3:uid="{00000000-0010-0000-0100-000001000000}" name="Persona"/>
    <tableColumn id="2" xr3:uid="{00000000-0010-0000-0100-000002000000}" name="Perfil"/>
    <tableColumn id="3" xr3:uid="{00000000-0010-0000-0100-000003000000}" name="Fortalezas principales"/>
    <tableColumn id="4" xr3:uid="{00000000-0010-0000-0100-000004000000}" name="Uso propuesto en la matri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workbookViewId="0">
      <selection sqref="A1:H1"/>
    </sheetView>
  </sheetViews>
  <sheetFormatPr baseColWidth="10" defaultColWidth="8.6640625" defaultRowHeight="14"/>
  <cols>
    <col min="1" max="1" width="12" customWidth="1"/>
    <col min="2" max="2" width="9" customWidth="1"/>
    <col min="3" max="3" width="55" customWidth="1"/>
    <col min="4" max="4" width="14" customWidth="1"/>
    <col min="5" max="8" width="15" customWidth="1"/>
  </cols>
  <sheetData>
    <row r="1" spans="1:8" ht="30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8" ht="34" customHeight="1">
      <c r="A2" s="8" t="s">
        <v>1</v>
      </c>
      <c r="B2" s="8"/>
      <c r="C2" s="8"/>
      <c r="D2" s="8"/>
      <c r="E2" s="8"/>
      <c r="F2" s="8"/>
      <c r="G2" s="8"/>
      <c r="H2" s="8"/>
    </row>
    <row r="4" spans="1:8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8">
      <c r="A5" t="s">
        <v>10</v>
      </c>
      <c r="B5" t="s">
        <v>11</v>
      </c>
      <c r="C5" s="4" t="s">
        <v>12</v>
      </c>
      <c r="D5" s="2">
        <f>COUNTIF('Asignación detallada'!$C$5:$C$200,B5)</f>
        <v>8</v>
      </c>
      <c r="E5" s="3">
        <f>SUMIFS('Asignación detallada'!$J$5:$J$200,'Asignación detallada'!$C$5:$C$200,B5,'Asignación detallada'!$F$5:$F$200,"Elaboración")</f>
        <v>0.85</v>
      </c>
      <c r="F5" s="3">
        <f>SUMIFS('Asignación detallada'!$J$5:$J$200,'Asignación detallada'!$C$5:$C$200,B5,'Asignación detallada'!$F$5:$F$200,"Revisión y aval")</f>
        <v>0.1</v>
      </c>
      <c r="G5" s="3">
        <f>SUMIFS('Asignación detallada'!$J$5:$J$200,'Asignación detallada'!$C$5:$C$200,B5,'Asignación detallada'!$F$5:$F$200,"Revisión final Secretaría")</f>
        <v>0.05</v>
      </c>
      <c r="H5" s="3">
        <f t="shared" ref="H5:H22" si="0">ROUND(SUM(E5:G5),2)</f>
        <v>1</v>
      </c>
    </row>
    <row r="6" spans="1:8">
      <c r="A6" t="s">
        <v>10</v>
      </c>
      <c r="B6" t="s">
        <v>13</v>
      </c>
      <c r="C6" s="4" t="s">
        <v>14</v>
      </c>
      <c r="D6" s="2">
        <f>COUNTIF('Asignación detallada'!$C$5:$C$200,B6)</f>
        <v>7</v>
      </c>
      <c r="E6" s="3">
        <f>SUMIFS('Asignación detallada'!$J$5:$J$200,'Asignación detallada'!$C$5:$C$200,B6,'Asignación detallada'!$F$5:$F$200,"Elaboración")</f>
        <v>0.85000000000000009</v>
      </c>
      <c r="F6" s="3">
        <f>SUMIFS('Asignación detallada'!$J$5:$J$200,'Asignación detallada'!$C$5:$C$200,B6,'Asignación detallada'!$F$5:$F$200,"Revisión y aval")</f>
        <v>0.1</v>
      </c>
      <c r="G6" s="3">
        <f>SUMIFS('Asignación detallada'!$J$5:$J$200,'Asignación detallada'!$C$5:$C$200,B6,'Asignación detallada'!$F$5:$F$200,"Revisión final Secretaría")</f>
        <v>0.05</v>
      </c>
      <c r="H6" s="3">
        <f t="shared" si="0"/>
        <v>1</v>
      </c>
    </row>
    <row r="7" spans="1:8">
      <c r="A7" t="s">
        <v>15</v>
      </c>
      <c r="B7" t="s">
        <v>16</v>
      </c>
      <c r="C7" s="4" t="s">
        <v>17</v>
      </c>
      <c r="D7" s="2">
        <f>COUNTIF('Asignación detallada'!$C$5:$C$200,B7)</f>
        <v>8</v>
      </c>
      <c r="E7" s="3">
        <f>SUMIFS('Asignación detallada'!$J$5:$J$200,'Asignación detallada'!$C$5:$C$200,B7,'Asignación detallada'!$F$5:$F$200,"Elaboración")</f>
        <v>0.85</v>
      </c>
      <c r="F7" s="3">
        <f>SUMIFS('Asignación detallada'!$J$5:$J$200,'Asignación detallada'!$C$5:$C$200,B7,'Asignación detallada'!$F$5:$F$200,"Revisión y aval")</f>
        <v>0.1</v>
      </c>
      <c r="G7" s="3">
        <f>SUMIFS('Asignación detallada'!$J$5:$J$200,'Asignación detallada'!$C$5:$C$200,B7,'Asignación detallada'!$F$5:$F$200,"Revisión final Secretaría")</f>
        <v>0.05</v>
      </c>
      <c r="H7" s="3">
        <f t="shared" si="0"/>
        <v>1</v>
      </c>
    </row>
    <row r="8" spans="1:8">
      <c r="A8" t="s">
        <v>15</v>
      </c>
      <c r="B8" t="s">
        <v>18</v>
      </c>
      <c r="C8" s="4" t="s">
        <v>19</v>
      </c>
      <c r="D8" s="2">
        <f>COUNTIF('Asignación detallada'!$C$5:$C$200,B8)</f>
        <v>7</v>
      </c>
      <c r="E8" s="3">
        <f>SUMIFS('Asignación detallada'!$J$5:$J$200,'Asignación detallada'!$C$5:$C$200,B8,'Asignación detallada'!$F$5:$F$200,"Elaboración")</f>
        <v>0.85000000000000009</v>
      </c>
      <c r="F8" s="3">
        <f>SUMIFS('Asignación detallada'!$J$5:$J$200,'Asignación detallada'!$C$5:$C$200,B8,'Asignación detallada'!$F$5:$F$200,"Revisión y aval")</f>
        <v>0.1</v>
      </c>
      <c r="G8" s="3">
        <f>SUMIFS('Asignación detallada'!$J$5:$J$200,'Asignación detallada'!$C$5:$C$200,B8,'Asignación detallada'!$F$5:$F$200,"Revisión final Secretaría")</f>
        <v>0.05</v>
      </c>
      <c r="H8" s="3">
        <f t="shared" si="0"/>
        <v>1</v>
      </c>
    </row>
    <row r="9" spans="1:8">
      <c r="A9" t="s">
        <v>20</v>
      </c>
      <c r="B9" t="s">
        <v>21</v>
      </c>
      <c r="C9" s="4" t="s">
        <v>22</v>
      </c>
      <c r="D9" s="2">
        <f>COUNTIF('Asignación detallada'!$C$5:$C$200,B9)</f>
        <v>9</v>
      </c>
      <c r="E9" s="3">
        <f>SUMIFS('Asignación detallada'!$J$5:$J$200,'Asignación detallada'!$C$5:$C$200,B9,'Asignación detallada'!$F$5:$F$200,"Elaboración")</f>
        <v>0.85</v>
      </c>
      <c r="F9" s="3">
        <f>SUMIFS('Asignación detallada'!$J$5:$J$200,'Asignación detallada'!$C$5:$C$200,B9,'Asignación detallada'!$F$5:$F$200,"Revisión y aval")</f>
        <v>0.1</v>
      </c>
      <c r="G9" s="3">
        <f>SUMIFS('Asignación detallada'!$J$5:$J$200,'Asignación detallada'!$C$5:$C$200,B9,'Asignación detallada'!$F$5:$F$200,"Revisión final Secretaría")</f>
        <v>0.05</v>
      </c>
      <c r="H9" s="3">
        <f t="shared" si="0"/>
        <v>1</v>
      </c>
    </row>
    <row r="10" spans="1:8" ht="28">
      <c r="A10" t="s">
        <v>20</v>
      </c>
      <c r="B10" t="s">
        <v>23</v>
      </c>
      <c r="C10" s="4" t="s">
        <v>24</v>
      </c>
      <c r="D10" s="2">
        <f>COUNTIF('Asignación detallada'!$C$5:$C$200,B10)</f>
        <v>8</v>
      </c>
      <c r="E10" s="3">
        <f>SUMIFS('Asignación detallada'!$J$5:$J$200,'Asignación detallada'!$C$5:$C$200,B10,'Asignación detallada'!$F$5:$F$200,"Elaboración")</f>
        <v>0.85</v>
      </c>
      <c r="F10" s="3">
        <f>SUMIFS('Asignación detallada'!$J$5:$J$200,'Asignación detallada'!$C$5:$C$200,B10,'Asignación detallada'!$F$5:$F$200,"Revisión y aval")</f>
        <v>0.1</v>
      </c>
      <c r="G10" s="3">
        <f>SUMIFS('Asignación detallada'!$J$5:$J$200,'Asignación detallada'!$C$5:$C$200,B10,'Asignación detallada'!$F$5:$F$200,"Revisión final Secretaría")</f>
        <v>0.05</v>
      </c>
      <c r="H10" s="3">
        <f t="shared" si="0"/>
        <v>1</v>
      </c>
    </row>
    <row r="11" spans="1:8">
      <c r="A11" t="s">
        <v>20</v>
      </c>
      <c r="B11" t="s">
        <v>25</v>
      </c>
      <c r="C11" s="4" t="s">
        <v>26</v>
      </c>
      <c r="D11" s="2">
        <f>COUNTIF('Asignación detallada'!$C$5:$C$200,B11)</f>
        <v>8</v>
      </c>
      <c r="E11" s="3">
        <f>SUMIFS('Asignación detallada'!$J$5:$J$200,'Asignación detallada'!$C$5:$C$200,B11,'Asignación detallada'!$F$5:$F$200,"Elaboración")</f>
        <v>0.84999999999999987</v>
      </c>
      <c r="F11" s="3">
        <f>SUMIFS('Asignación detallada'!$J$5:$J$200,'Asignación detallada'!$C$5:$C$200,B11,'Asignación detallada'!$F$5:$F$200,"Revisión y aval")</f>
        <v>0.1</v>
      </c>
      <c r="G11" s="3">
        <f>SUMIFS('Asignación detallada'!$J$5:$J$200,'Asignación detallada'!$C$5:$C$200,B11,'Asignación detallada'!$F$5:$F$200,"Revisión final Secretaría")</f>
        <v>0.05</v>
      </c>
      <c r="H11" s="3">
        <f t="shared" si="0"/>
        <v>1</v>
      </c>
    </row>
    <row r="12" spans="1:8" ht="28">
      <c r="A12" t="s">
        <v>27</v>
      </c>
      <c r="B12" t="s">
        <v>28</v>
      </c>
      <c r="C12" s="4" t="s">
        <v>29</v>
      </c>
      <c r="D12" s="2">
        <f>COUNTIF('Asignación detallada'!$C$5:$C$200,B12)</f>
        <v>8</v>
      </c>
      <c r="E12" s="3">
        <f>SUMIFS('Asignación detallada'!$J$5:$J$200,'Asignación detallada'!$C$5:$C$200,B12,'Asignación detallada'!$F$5:$F$200,"Elaboración")</f>
        <v>0.85</v>
      </c>
      <c r="F12" s="3">
        <f>SUMIFS('Asignación detallada'!$J$5:$J$200,'Asignación detallada'!$C$5:$C$200,B12,'Asignación detallada'!$F$5:$F$200,"Revisión y aval")</f>
        <v>0.1</v>
      </c>
      <c r="G12" s="3">
        <f>SUMIFS('Asignación detallada'!$J$5:$J$200,'Asignación detallada'!$C$5:$C$200,B12,'Asignación detallada'!$F$5:$F$200,"Revisión final Secretaría")</f>
        <v>0.05</v>
      </c>
      <c r="H12" s="3">
        <f t="shared" si="0"/>
        <v>1</v>
      </c>
    </row>
    <row r="13" spans="1:8" ht="28">
      <c r="A13" t="s">
        <v>27</v>
      </c>
      <c r="B13" t="s">
        <v>30</v>
      </c>
      <c r="C13" s="4" t="s">
        <v>31</v>
      </c>
      <c r="D13" s="2">
        <f>COUNTIF('Asignación detallada'!$C$5:$C$200,B13)</f>
        <v>8</v>
      </c>
      <c r="E13" s="3">
        <f>SUMIFS('Asignación detallada'!$J$5:$J$200,'Asignación detallada'!$C$5:$C$200,B13,'Asignación detallada'!$F$5:$F$200,"Elaboración")</f>
        <v>0.85</v>
      </c>
      <c r="F13" s="3">
        <f>SUMIFS('Asignación detallada'!$J$5:$J$200,'Asignación detallada'!$C$5:$C$200,B13,'Asignación detallada'!$F$5:$F$200,"Revisión y aval")</f>
        <v>0.1</v>
      </c>
      <c r="G13" s="3">
        <f>SUMIFS('Asignación detallada'!$J$5:$J$200,'Asignación detallada'!$C$5:$C$200,B13,'Asignación detallada'!$F$5:$F$200,"Revisión final Secretaría")</f>
        <v>0.05</v>
      </c>
      <c r="H13" s="3">
        <f t="shared" si="0"/>
        <v>1</v>
      </c>
    </row>
    <row r="14" spans="1:8" ht="28">
      <c r="A14" t="s">
        <v>27</v>
      </c>
      <c r="B14" t="s">
        <v>32</v>
      </c>
      <c r="C14" s="4" t="s">
        <v>33</v>
      </c>
      <c r="D14" s="2">
        <f>COUNTIF('Asignación detallada'!$C$5:$C$200,B14)</f>
        <v>8</v>
      </c>
      <c r="E14" s="3">
        <f>SUMIFS('Asignación detallada'!$J$5:$J$200,'Asignación detallada'!$C$5:$C$200,B14,'Asignación detallada'!$F$5:$F$200,"Elaboración")</f>
        <v>0.85</v>
      </c>
      <c r="F14" s="3">
        <f>SUMIFS('Asignación detallada'!$J$5:$J$200,'Asignación detallada'!$C$5:$C$200,B14,'Asignación detallada'!$F$5:$F$200,"Revisión y aval")</f>
        <v>0.1</v>
      </c>
      <c r="G14" s="3">
        <f>SUMIFS('Asignación detallada'!$J$5:$J$200,'Asignación detallada'!$C$5:$C$200,B14,'Asignación detallada'!$F$5:$F$200,"Revisión final Secretaría")</f>
        <v>0.05</v>
      </c>
      <c r="H14" s="3">
        <f t="shared" si="0"/>
        <v>1</v>
      </c>
    </row>
    <row r="15" spans="1:8">
      <c r="A15" t="s">
        <v>34</v>
      </c>
      <c r="B15" t="s">
        <v>35</v>
      </c>
      <c r="C15" s="4" t="s">
        <v>36</v>
      </c>
      <c r="D15" s="2">
        <f>COUNTIF('Asignación detallada'!$C$5:$C$200,B15)</f>
        <v>8</v>
      </c>
      <c r="E15" s="3">
        <f>SUMIFS('Asignación detallada'!$J$5:$J$200,'Asignación detallada'!$C$5:$C$200,B15,'Asignación detallada'!$F$5:$F$200,"Elaboración")</f>
        <v>0.85000000000000009</v>
      </c>
      <c r="F15" s="3">
        <f>SUMIFS('Asignación detallada'!$J$5:$J$200,'Asignación detallada'!$C$5:$C$200,B15,'Asignación detallada'!$F$5:$F$200,"Revisión y aval")</f>
        <v>0.1</v>
      </c>
      <c r="G15" s="3">
        <f>SUMIFS('Asignación detallada'!$J$5:$J$200,'Asignación detallada'!$C$5:$C$200,B15,'Asignación detallada'!$F$5:$F$200,"Revisión final Secretaría")</f>
        <v>0.05</v>
      </c>
      <c r="H15" s="3">
        <f t="shared" si="0"/>
        <v>1</v>
      </c>
    </row>
    <row r="16" spans="1:8">
      <c r="A16" t="s">
        <v>34</v>
      </c>
      <c r="B16" t="s">
        <v>37</v>
      </c>
      <c r="C16" s="4" t="s">
        <v>38</v>
      </c>
      <c r="D16" s="2">
        <f>COUNTIF('Asignación detallada'!$C$5:$C$200,B16)</f>
        <v>8</v>
      </c>
      <c r="E16" s="3">
        <f>SUMIFS('Asignación detallada'!$J$5:$J$200,'Asignación detallada'!$C$5:$C$200,B16,'Asignación detallada'!$F$5:$F$200,"Elaboración")</f>
        <v>0.85</v>
      </c>
      <c r="F16" s="3">
        <f>SUMIFS('Asignación detallada'!$J$5:$J$200,'Asignación detallada'!$C$5:$C$200,B16,'Asignación detallada'!$F$5:$F$200,"Revisión y aval")</f>
        <v>0.1</v>
      </c>
      <c r="G16" s="3">
        <f>SUMIFS('Asignación detallada'!$J$5:$J$200,'Asignación detallada'!$C$5:$C$200,B16,'Asignación detallada'!$F$5:$F$200,"Revisión final Secretaría")</f>
        <v>0.05</v>
      </c>
      <c r="H16" s="3">
        <f t="shared" si="0"/>
        <v>1</v>
      </c>
    </row>
    <row r="17" spans="1:8">
      <c r="A17" t="s">
        <v>34</v>
      </c>
      <c r="B17" t="s">
        <v>39</v>
      </c>
      <c r="C17" s="4" t="s">
        <v>40</v>
      </c>
      <c r="D17" s="2">
        <f>COUNTIF('Asignación detallada'!$C$5:$C$200,B17)</f>
        <v>8</v>
      </c>
      <c r="E17" s="3">
        <f>SUMIFS('Asignación detallada'!$J$5:$J$200,'Asignación detallada'!$C$5:$C$200,B17,'Asignación detallada'!$F$5:$F$200,"Elaboración")</f>
        <v>0.85000000000000009</v>
      </c>
      <c r="F17" s="3">
        <f>SUMIFS('Asignación detallada'!$J$5:$J$200,'Asignación detallada'!$C$5:$C$200,B17,'Asignación detallada'!$F$5:$F$200,"Revisión y aval")</f>
        <v>0.1</v>
      </c>
      <c r="G17" s="3">
        <f>SUMIFS('Asignación detallada'!$J$5:$J$200,'Asignación detallada'!$C$5:$C$200,B17,'Asignación detallada'!$F$5:$F$200,"Revisión final Secretaría")</f>
        <v>0.05</v>
      </c>
      <c r="H17" s="3">
        <f t="shared" si="0"/>
        <v>1</v>
      </c>
    </row>
    <row r="18" spans="1:8">
      <c r="A18" t="s">
        <v>34</v>
      </c>
      <c r="B18" t="s">
        <v>41</v>
      </c>
      <c r="C18" s="4" t="s">
        <v>42</v>
      </c>
      <c r="D18" s="2">
        <f>COUNTIF('Asignación detallada'!$C$5:$C$200,B18)</f>
        <v>8</v>
      </c>
      <c r="E18" s="3">
        <f>SUMIFS('Asignación detallada'!$J$5:$J$200,'Asignación detallada'!$C$5:$C$200,B18,'Asignación detallada'!$F$5:$F$200,"Elaboración")</f>
        <v>0.85</v>
      </c>
      <c r="F18" s="3">
        <f>SUMIFS('Asignación detallada'!$J$5:$J$200,'Asignación detallada'!$C$5:$C$200,B18,'Asignación detallada'!$F$5:$F$200,"Revisión y aval")</f>
        <v>0.1</v>
      </c>
      <c r="G18" s="3">
        <f>SUMIFS('Asignación detallada'!$J$5:$J$200,'Asignación detallada'!$C$5:$C$200,B18,'Asignación detallada'!$F$5:$F$200,"Revisión final Secretaría")</f>
        <v>0.05</v>
      </c>
      <c r="H18" s="3">
        <f t="shared" si="0"/>
        <v>1</v>
      </c>
    </row>
    <row r="19" spans="1:8" ht="28">
      <c r="A19" t="s">
        <v>43</v>
      </c>
      <c r="B19" t="s">
        <v>44</v>
      </c>
      <c r="C19" s="4" t="s">
        <v>45</v>
      </c>
      <c r="D19" s="2">
        <f>COUNTIF('Asignación detallada'!$C$5:$C$200,B19)</f>
        <v>8</v>
      </c>
      <c r="E19" s="3">
        <f>SUMIFS('Asignación detallada'!$J$5:$J$200,'Asignación detallada'!$C$5:$C$200,B19,'Asignación detallada'!$F$5:$F$200,"Elaboración")</f>
        <v>0.85</v>
      </c>
      <c r="F19" s="3">
        <f>SUMIFS('Asignación detallada'!$J$5:$J$200,'Asignación detallada'!$C$5:$C$200,B19,'Asignación detallada'!$F$5:$F$200,"Revisión y aval")</f>
        <v>0.1</v>
      </c>
      <c r="G19" s="3">
        <f>SUMIFS('Asignación detallada'!$J$5:$J$200,'Asignación detallada'!$C$5:$C$200,B19,'Asignación detallada'!$F$5:$F$200,"Revisión final Secretaría")</f>
        <v>0.05</v>
      </c>
      <c r="H19" s="3">
        <f t="shared" si="0"/>
        <v>1</v>
      </c>
    </row>
    <row r="20" spans="1:8">
      <c r="A20" t="s">
        <v>43</v>
      </c>
      <c r="B20" t="s">
        <v>46</v>
      </c>
      <c r="C20" s="4" t="s">
        <v>47</v>
      </c>
      <c r="D20" s="2">
        <f>COUNTIF('Asignación detallada'!$C$5:$C$200,B20)</f>
        <v>8</v>
      </c>
      <c r="E20" s="3">
        <f>SUMIFS('Asignación detallada'!$J$5:$J$200,'Asignación detallada'!$C$5:$C$200,B20,'Asignación detallada'!$F$5:$F$200,"Elaboración")</f>
        <v>0.85000000000000009</v>
      </c>
      <c r="F20" s="3">
        <f>SUMIFS('Asignación detallada'!$J$5:$J$200,'Asignación detallada'!$C$5:$C$200,B20,'Asignación detallada'!$F$5:$F$200,"Revisión y aval")</f>
        <v>0.1</v>
      </c>
      <c r="G20" s="3">
        <f>SUMIFS('Asignación detallada'!$J$5:$J$200,'Asignación detallada'!$C$5:$C$200,B20,'Asignación detallada'!$F$5:$F$200,"Revisión final Secretaría")</f>
        <v>0.05</v>
      </c>
      <c r="H20" s="3">
        <f t="shared" si="0"/>
        <v>1</v>
      </c>
    </row>
    <row r="21" spans="1:8">
      <c r="A21" t="s">
        <v>43</v>
      </c>
      <c r="B21" t="s">
        <v>48</v>
      </c>
      <c r="C21" s="4" t="s">
        <v>49</v>
      </c>
      <c r="D21" s="2">
        <f>COUNTIF('Asignación detallada'!$C$5:$C$200,B21)</f>
        <v>8</v>
      </c>
      <c r="E21" s="3">
        <f>SUMIFS('Asignación detallada'!$J$5:$J$200,'Asignación detallada'!$C$5:$C$200,B21,'Asignación detallada'!$F$5:$F$200,"Elaboración")</f>
        <v>0.85000000000000009</v>
      </c>
      <c r="F21" s="3">
        <f>SUMIFS('Asignación detallada'!$J$5:$J$200,'Asignación detallada'!$C$5:$C$200,B21,'Asignación detallada'!$F$5:$F$200,"Revisión y aval")</f>
        <v>0.1</v>
      </c>
      <c r="G21" s="3">
        <f>SUMIFS('Asignación detallada'!$J$5:$J$200,'Asignación detallada'!$C$5:$C$200,B21,'Asignación detallada'!$F$5:$F$200,"Revisión final Secretaría")</f>
        <v>0.05</v>
      </c>
      <c r="H21" s="3">
        <f t="shared" si="0"/>
        <v>1</v>
      </c>
    </row>
    <row r="22" spans="1:8">
      <c r="A22" t="s">
        <v>43</v>
      </c>
      <c r="B22" t="s">
        <v>50</v>
      </c>
      <c r="C22" s="4" t="s">
        <v>51</v>
      </c>
      <c r="D22" s="2">
        <f>COUNTIF('Asignación detallada'!$C$5:$C$200,B22)</f>
        <v>8</v>
      </c>
      <c r="E22" s="3">
        <f>SUMIFS('Asignación detallada'!$J$5:$J$200,'Asignación detallada'!$C$5:$C$200,B22,'Asignación detallada'!$F$5:$F$200,"Elaboración")</f>
        <v>0.85</v>
      </c>
      <c r="F22" s="3">
        <f>SUMIFS('Asignación detallada'!$J$5:$J$200,'Asignación detallada'!$C$5:$C$200,B22,'Asignación detallada'!$F$5:$F$200,"Revisión y aval")</f>
        <v>0.1</v>
      </c>
      <c r="G22" s="3">
        <f>SUMIFS('Asignación detallada'!$J$5:$J$200,'Asignación detallada'!$C$5:$C$200,B22,'Asignación detallada'!$F$5:$F$200,"Revisión final Secretaría")</f>
        <v>0.05</v>
      </c>
      <c r="H22" s="3">
        <f t="shared" si="0"/>
        <v>1</v>
      </c>
    </row>
  </sheetData>
  <mergeCells count="2">
    <mergeCell ref="A1:H1"/>
    <mergeCell ref="A2:H2"/>
  </mergeCells>
  <conditionalFormatting sqref="H5:H22">
    <cfRule type="cellIs" dxfId="2" priority="1" operator="notEqual">
      <formula>1</formula>
    </cfRule>
    <cfRule type="cellIs" dxfId="1" priority="2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7"/>
  <sheetViews>
    <sheetView showGridLines="0" tabSelected="1" workbookViewId="0">
      <selection sqref="A1:O1"/>
    </sheetView>
  </sheetViews>
  <sheetFormatPr baseColWidth="10" defaultColWidth="8.6640625" defaultRowHeight="14"/>
  <cols>
    <col min="1" max="1" width="9" customWidth="1"/>
    <col min="2" max="2" width="34" customWidth="1"/>
    <col min="3" max="3" width="12" customWidth="1"/>
    <col min="4" max="4" width="46" customWidth="1"/>
    <col min="5" max="5" width="13" customWidth="1"/>
    <col min="6" max="6" width="20" customWidth="1"/>
    <col min="7" max="7" width="62" customWidth="1"/>
    <col min="8" max="9" width="38" customWidth="1"/>
    <col min="10" max="10" width="10" customWidth="1"/>
    <col min="11" max="12" width="14" customWidth="1"/>
    <col min="13" max="13" width="38" customWidth="1"/>
    <col min="14" max="14" width="45" customWidth="1"/>
    <col min="15" max="15" width="28" customWidth="1"/>
  </cols>
  <sheetData>
    <row r="1" spans="1:15" ht="28" customHeight="1">
      <c r="A1" s="9" t="s">
        <v>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0" customHeight="1">
      <c r="A2" s="8" t="s">
        <v>53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 ht="32" customHeight="1">
      <c r="A4" s="1" t="s">
        <v>54</v>
      </c>
      <c r="B4" s="1" t="s">
        <v>2</v>
      </c>
      <c r="C4" s="1" t="s">
        <v>55</v>
      </c>
      <c r="D4" s="1" t="s">
        <v>4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65</v>
      </c>
      <c r="O4" s="1" t="s">
        <v>66</v>
      </c>
    </row>
    <row r="5" spans="1:15" ht="42">
      <c r="A5" t="s">
        <v>10</v>
      </c>
      <c r="B5" t="s">
        <v>67</v>
      </c>
      <c r="C5" t="s">
        <v>11</v>
      </c>
      <c r="D5" t="s">
        <v>12</v>
      </c>
      <c r="E5" t="s">
        <v>68</v>
      </c>
      <c r="F5" t="s">
        <v>6</v>
      </c>
      <c r="G5" s="4" t="s">
        <v>69</v>
      </c>
      <c r="H5" s="4" t="s">
        <v>70</v>
      </c>
      <c r="I5" s="4" t="s">
        <v>71</v>
      </c>
      <c r="J5" s="5">
        <v>0.15</v>
      </c>
      <c r="K5" s="6">
        <v>46251.708333333336</v>
      </c>
      <c r="L5" s="6">
        <v>46258.708333333336</v>
      </c>
      <c r="M5" s="4" t="s">
        <v>72</v>
      </c>
      <c r="N5" s="4" t="s">
        <v>73</v>
      </c>
      <c r="O5" s="4" t="s">
        <v>74</v>
      </c>
    </row>
    <row r="6" spans="1:15" ht="42">
      <c r="A6" t="s">
        <v>10</v>
      </c>
      <c r="B6" t="s">
        <v>67</v>
      </c>
      <c r="C6" t="s">
        <v>11</v>
      </c>
      <c r="D6" t="s">
        <v>12</v>
      </c>
      <c r="E6" t="s">
        <v>75</v>
      </c>
      <c r="F6" t="s">
        <v>6</v>
      </c>
      <c r="G6" s="4" t="s">
        <v>76</v>
      </c>
      <c r="H6" s="4" t="s">
        <v>77</v>
      </c>
      <c r="I6" s="4" t="s">
        <v>78</v>
      </c>
      <c r="J6" s="5">
        <v>0.2</v>
      </c>
      <c r="K6" s="6">
        <v>46252.708333333336</v>
      </c>
      <c r="L6" s="6">
        <v>46262.708333333336</v>
      </c>
      <c r="M6" s="4" t="s">
        <v>79</v>
      </c>
      <c r="N6" s="4" t="s">
        <v>73</v>
      </c>
      <c r="O6" s="4" t="s">
        <v>74</v>
      </c>
    </row>
    <row r="7" spans="1:15" ht="42">
      <c r="A7" t="s">
        <v>10</v>
      </c>
      <c r="B7" t="s">
        <v>67</v>
      </c>
      <c r="C7" t="s">
        <v>11</v>
      </c>
      <c r="D7" t="s">
        <v>12</v>
      </c>
      <c r="E7" t="s">
        <v>80</v>
      </c>
      <c r="F7" t="s">
        <v>6</v>
      </c>
      <c r="G7" s="4" t="s">
        <v>81</v>
      </c>
      <c r="H7" s="4" t="s">
        <v>82</v>
      </c>
      <c r="I7" s="4" t="s">
        <v>83</v>
      </c>
      <c r="J7" s="5">
        <v>0.15</v>
      </c>
      <c r="K7" s="6">
        <v>46254.708333333336</v>
      </c>
      <c r="L7" s="6">
        <v>46265.708333333336</v>
      </c>
      <c r="M7" s="4" t="s">
        <v>84</v>
      </c>
      <c r="N7" s="4" t="s">
        <v>73</v>
      </c>
      <c r="O7" s="4" t="s">
        <v>74</v>
      </c>
    </row>
    <row r="8" spans="1:15" ht="42">
      <c r="A8" t="s">
        <v>10</v>
      </c>
      <c r="B8" t="s">
        <v>67</v>
      </c>
      <c r="C8" t="s">
        <v>11</v>
      </c>
      <c r="D8" t="s">
        <v>12</v>
      </c>
      <c r="E8" t="s">
        <v>85</v>
      </c>
      <c r="F8" t="s">
        <v>6</v>
      </c>
      <c r="G8" s="4" t="s">
        <v>86</v>
      </c>
      <c r="H8" s="4" t="s">
        <v>87</v>
      </c>
      <c r="I8" s="4" t="s">
        <v>71</v>
      </c>
      <c r="J8" s="5">
        <v>0.15</v>
      </c>
      <c r="K8" s="6">
        <v>46256.708333333336</v>
      </c>
      <c r="L8" s="6">
        <v>46268.708333333336</v>
      </c>
      <c r="M8" s="4" t="s">
        <v>88</v>
      </c>
      <c r="N8" s="4" t="s">
        <v>73</v>
      </c>
      <c r="O8" s="4" t="s">
        <v>74</v>
      </c>
    </row>
    <row r="9" spans="1:15" ht="42">
      <c r="A9" t="s">
        <v>10</v>
      </c>
      <c r="B9" t="s">
        <v>67</v>
      </c>
      <c r="C9" t="s">
        <v>11</v>
      </c>
      <c r="D9" t="s">
        <v>12</v>
      </c>
      <c r="E9" t="s">
        <v>89</v>
      </c>
      <c r="F9" t="s">
        <v>6</v>
      </c>
      <c r="G9" s="4" t="s">
        <v>90</v>
      </c>
      <c r="H9" s="4" t="s">
        <v>78</v>
      </c>
      <c r="I9" s="4" t="s">
        <v>91</v>
      </c>
      <c r="J9" s="5">
        <v>0.1</v>
      </c>
      <c r="K9" s="6">
        <v>46260.708333333336</v>
      </c>
      <c r="L9" s="6">
        <v>46272.708333333336</v>
      </c>
      <c r="M9" s="4" t="s">
        <v>92</v>
      </c>
      <c r="N9" s="4" t="s">
        <v>73</v>
      </c>
      <c r="O9" s="4" t="s">
        <v>74</v>
      </c>
    </row>
    <row r="10" spans="1:15" ht="42">
      <c r="A10" t="s">
        <v>10</v>
      </c>
      <c r="B10" t="s">
        <v>67</v>
      </c>
      <c r="C10" t="s">
        <v>11</v>
      </c>
      <c r="D10" t="s">
        <v>12</v>
      </c>
      <c r="E10" t="s">
        <v>93</v>
      </c>
      <c r="F10" t="s">
        <v>6</v>
      </c>
      <c r="G10" s="4" t="s">
        <v>94</v>
      </c>
      <c r="H10" s="4" t="s">
        <v>71</v>
      </c>
      <c r="I10" s="4" t="s">
        <v>95</v>
      </c>
      <c r="J10" s="5">
        <v>0.1</v>
      </c>
      <c r="K10" s="6">
        <v>46265.708333333336</v>
      </c>
      <c r="L10" s="6">
        <v>46275.708333333336</v>
      </c>
      <c r="M10" s="4" t="s">
        <v>96</v>
      </c>
      <c r="N10" s="4" t="s">
        <v>73</v>
      </c>
      <c r="O10" s="4" t="s">
        <v>74</v>
      </c>
    </row>
    <row r="11" spans="1:15" ht="28">
      <c r="A11" t="s">
        <v>10</v>
      </c>
      <c r="B11" t="s">
        <v>67</v>
      </c>
      <c r="C11" t="s">
        <v>11</v>
      </c>
      <c r="D11" t="s">
        <v>12</v>
      </c>
      <c r="E11" t="s">
        <v>97</v>
      </c>
      <c r="F11" t="s">
        <v>7</v>
      </c>
      <c r="G11" s="4" t="s">
        <v>98</v>
      </c>
      <c r="H11" s="4" t="s">
        <v>99</v>
      </c>
      <c r="I11" s="4" t="s">
        <v>100</v>
      </c>
      <c r="J11" s="5">
        <v>0.1</v>
      </c>
      <c r="K11" s="6">
        <v>46276.708333333336</v>
      </c>
      <c r="L11" s="6">
        <v>46278.708333333336</v>
      </c>
      <c r="M11" s="4" t="s">
        <v>101</v>
      </c>
      <c r="N11" s="4" t="s">
        <v>102</v>
      </c>
      <c r="O11" s="4" t="s">
        <v>74</v>
      </c>
    </row>
    <row r="12" spans="1:15" ht="28">
      <c r="A12" t="s">
        <v>10</v>
      </c>
      <c r="B12" t="s">
        <v>67</v>
      </c>
      <c r="C12" t="s">
        <v>11</v>
      </c>
      <c r="D12" t="s">
        <v>12</v>
      </c>
      <c r="E12" t="s">
        <v>103</v>
      </c>
      <c r="F12" t="s">
        <v>104</v>
      </c>
      <c r="G12" s="4" t="s">
        <v>105</v>
      </c>
      <c r="H12" s="4" t="s">
        <v>106</v>
      </c>
      <c r="I12" s="4" t="s">
        <v>107</v>
      </c>
      <c r="J12" s="5">
        <v>0.05</v>
      </c>
      <c r="K12" s="6">
        <v>46279.708333333336</v>
      </c>
      <c r="L12" s="6">
        <v>46282.708333333336</v>
      </c>
      <c r="M12" s="4" t="s">
        <v>108</v>
      </c>
      <c r="N12" s="4" t="s">
        <v>109</v>
      </c>
      <c r="O12" s="4" t="s">
        <v>110</v>
      </c>
    </row>
    <row r="13" spans="1:15" ht="28">
      <c r="A13" t="s">
        <v>10</v>
      </c>
      <c r="B13" t="s">
        <v>67</v>
      </c>
      <c r="C13" t="s">
        <v>13</v>
      </c>
      <c r="D13" t="s">
        <v>14</v>
      </c>
      <c r="E13" t="s">
        <v>111</v>
      </c>
      <c r="F13" t="s">
        <v>6</v>
      </c>
      <c r="G13" s="4" t="s">
        <v>112</v>
      </c>
      <c r="H13" s="4" t="s">
        <v>70</v>
      </c>
      <c r="I13" s="4" t="s">
        <v>71</v>
      </c>
      <c r="J13" s="5">
        <v>0.15</v>
      </c>
      <c r="K13" s="6">
        <v>46251.708333333336</v>
      </c>
      <c r="L13" s="6">
        <v>46262.708333333336</v>
      </c>
      <c r="M13" s="4" t="s">
        <v>113</v>
      </c>
      <c r="N13" s="4" t="s">
        <v>114</v>
      </c>
      <c r="O13" s="4" t="s">
        <v>74</v>
      </c>
    </row>
    <row r="14" spans="1:15" ht="28">
      <c r="A14" t="s">
        <v>10</v>
      </c>
      <c r="B14" t="s">
        <v>67</v>
      </c>
      <c r="C14" t="s">
        <v>13</v>
      </c>
      <c r="D14" t="s">
        <v>14</v>
      </c>
      <c r="E14" t="s">
        <v>115</v>
      </c>
      <c r="F14" t="s">
        <v>6</v>
      </c>
      <c r="G14" s="4" t="s">
        <v>116</v>
      </c>
      <c r="H14" s="4" t="s">
        <v>77</v>
      </c>
      <c r="I14" s="4" t="s">
        <v>78</v>
      </c>
      <c r="J14" s="5">
        <v>0.2</v>
      </c>
      <c r="K14" s="6">
        <v>46253.708333333336</v>
      </c>
      <c r="L14" s="6">
        <v>46268.708333333336</v>
      </c>
      <c r="M14" s="4" t="s">
        <v>117</v>
      </c>
      <c r="N14" s="4" t="s">
        <v>114</v>
      </c>
      <c r="O14" s="4" t="s">
        <v>74</v>
      </c>
    </row>
    <row r="15" spans="1:15" ht="28">
      <c r="A15" t="s">
        <v>10</v>
      </c>
      <c r="B15" t="s">
        <v>67</v>
      </c>
      <c r="C15" t="s">
        <v>13</v>
      </c>
      <c r="D15" t="s">
        <v>14</v>
      </c>
      <c r="E15" t="s">
        <v>118</v>
      </c>
      <c r="F15" t="s">
        <v>6</v>
      </c>
      <c r="G15" s="4" t="s">
        <v>119</v>
      </c>
      <c r="H15" s="4" t="s">
        <v>120</v>
      </c>
      <c r="I15" s="4" t="s">
        <v>121</v>
      </c>
      <c r="J15" s="5">
        <v>0.15</v>
      </c>
      <c r="K15" s="6">
        <v>46257.708333333336</v>
      </c>
      <c r="L15" s="6">
        <v>46273.708333333336</v>
      </c>
      <c r="M15" s="4" t="s">
        <v>122</v>
      </c>
      <c r="N15" s="4" t="s">
        <v>114</v>
      </c>
      <c r="O15" s="4" t="s">
        <v>74</v>
      </c>
    </row>
    <row r="16" spans="1:15" ht="28">
      <c r="A16" t="s">
        <v>10</v>
      </c>
      <c r="B16" t="s">
        <v>67</v>
      </c>
      <c r="C16" t="s">
        <v>13</v>
      </c>
      <c r="D16" t="s">
        <v>14</v>
      </c>
      <c r="E16" t="s">
        <v>123</v>
      </c>
      <c r="F16" t="s">
        <v>6</v>
      </c>
      <c r="G16" s="4" t="s">
        <v>124</v>
      </c>
      <c r="H16" s="4" t="s">
        <v>78</v>
      </c>
      <c r="I16" s="4" t="s">
        <v>95</v>
      </c>
      <c r="J16" s="5">
        <v>0.15</v>
      </c>
      <c r="K16" s="6">
        <v>46262.708333333336</v>
      </c>
      <c r="L16" s="6">
        <v>46277.708333333336</v>
      </c>
      <c r="M16" s="4" t="s">
        <v>125</v>
      </c>
      <c r="N16" s="4" t="s">
        <v>114</v>
      </c>
      <c r="O16" s="4" t="s">
        <v>74</v>
      </c>
    </row>
    <row r="17" spans="1:15" ht="28">
      <c r="A17" t="s">
        <v>10</v>
      </c>
      <c r="B17" t="s">
        <v>67</v>
      </c>
      <c r="C17" t="s">
        <v>13</v>
      </c>
      <c r="D17" t="s">
        <v>14</v>
      </c>
      <c r="E17" t="s">
        <v>126</v>
      </c>
      <c r="F17" t="s">
        <v>6</v>
      </c>
      <c r="G17" s="4" t="s">
        <v>127</v>
      </c>
      <c r="H17" s="4" t="s">
        <v>71</v>
      </c>
      <c r="I17" s="4" t="s">
        <v>95</v>
      </c>
      <c r="J17" s="5">
        <v>0.2</v>
      </c>
      <c r="K17" s="6">
        <v>46269.708333333336</v>
      </c>
      <c r="L17" s="6">
        <v>46282.708333333336</v>
      </c>
      <c r="M17" s="4" t="s">
        <v>128</v>
      </c>
      <c r="N17" s="4" t="s">
        <v>114</v>
      </c>
      <c r="O17" s="4" t="s">
        <v>74</v>
      </c>
    </row>
    <row r="18" spans="1:15" ht="28">
      <c r="A18" t="s">
        <v>10</v>
      </c>
      <c r="B18" t="s">
        <v>67</v>
      </c>
      <c r="C18" t="s">
        <v>13</v>
      </c>
      <c r="D18" t="s">
        <v>14</v>
      </c>
      <c r="E18" t="s">
        <v>129</v>
      </c>
      <c r="F18" t="s">
        <v>7</v>
      </c>
      <c r="G18" s="4" t="s">
        <v>98</v>
      </c>
      <c r="H18" s="4" t="s">
        <v>99</v>
      </c>
      <c r="I18" s="4" t="s">
        <v>100</v>
      </c>
      <c r="J18" s="5">
        <v>0.1</v>
      </c>
      <c r="K18" s="6">
        <v>46283.708333333336</v>
      </c>
      <c r="L18" s="6">
        <v>46285.708333333336</v>
      </c>
      <c r="M18" s="4" t="s">
        <v>101</v>
      </c>
      <c r="N18" s="4" t="s">
        <v>102</v>
      </c>
      <c r="O18" s="4" t="s">
        <v>74</v>
      </c>
    </row>
    <row r="19" spans="1:15" ht="28">
      <c r="A19" t="s">
        <v>10</v>
      </c>
      <c r="B19" t="s">
        <v>67</v>
      </c>
      <c r="C19" t="s">
        <v>13</v>
      </c>
      <c r="D19" t="s">
        <v>14</v>
      </c>
      <c r="E19" t="s">
        <v>130</v>
      </c>
      <c r="F19" t="s">
        <v>104</v>
      </c>
      <c r="G19" s="4" t="s">
        <v>105</v>
      </c>
      <c r="H19" s="4" t="s">
        <v>106</v>
      </c>
      <c r="I19" s="4" t="s">
        <v>107</v>
      </c>
      <c r="J19" s="5">
        <v>0.05</v>
      </c>
      <c r="K19" s="6">
        <v>46286.708333333336</v>
      </c>
      <c r="L19" s="6">
        <v>46289.708333333336</v>
      </c>
      <c r="M19" s="4" t="s">
        <v>108</v>
      </c>
      <c r="N19" s="4" t="s">
        <v>109</v>
      </c>
      <c r="O19" s="4" t="s">
        <v>110</v>
      </c>
    </row>
    <row r="20" spans="1:15" ht="28">
      <c r="A20" t="s">
        <v>15</v>
      </c>
      <c r="B20" t="s">
        <v>131</v>
      </c>
      <c r="C20" t="s">
        <v>16</v>
      </c>
      <c r="D20" t="s">
        <v>17</v>
      </c>
      <c r="E20" t="s">
        <v>132</v>
      </c>
      <c r="F20" t="s">
        <v>6</v>
      </c>
      <c r="G20" s="4" t="s">
        <v>133</v>
      </c>
      <c r="H20" s="4" t="s">
        <v>134</v>
      </c>
      <c r="I20" s="4" t="s">
        <v>78</v>
      </c>
      <c r="J20" s="5">
        <v>0.15</v>
      </c>
      <c r="K20" s="6">
        <v>46271.708333333336</v>
      </c>
      <c r="L20" s="6">
        <v>46281.708333333336</v>
      </c>
      <c r="M20" s="4" t="s">
        <v>135</v>
      </c>
      <c r="N20" s="4" t="s">
        <v>136</v>
      </c>
      <c r="O20" s="4" t="s">
        <v>74</v>
      </c>
    </row>
    <row r="21" spans="1:15" ht="28">
      <c r="A21" t="s">
        <v>15</v>
      </c>
      <c r="B21" t="s">
        <v>131</v>
      </c>
      <c r="C21" t="s">
        <v>16</v>
      </c>
      <c r="D21" t="s">
        <v>17</v>
      </c>
      <c r="E21" t="s">
        <v>137</v>
      </c>
      <c r="F21" t="s">
        <v>6</v>
      </c>
      <c r="G21" s="4" t="s">
        <v>138</v>
      </c>
      <c r="H21" s="4" t="s">
        <v>71</v>
      </c>
      <c r="I21" s="4" t="s">
        <v>87</v>
      </c>
      <c r="J21" s="5">
        <v>0.15</v>
      </c>
      <c r="K21" s="6">
        <v>46273.708333333336</v>
      </c>
      <c r="L21" s="6">
        <v>46285.708333333336</v>
      </c>
      <c r="M21" s="4" t="s">
        <v>139</v>
      </c>
      <c r="N21" s="4" t="s">
        <v>136</v>
      </c>
      <c r="O21" s="4" t="s">
        <v>74</v>
      </c>
    </row>
    <row r="22" spans="1:15" ht="28">
      <c r="A22" t="s">
        <v>15</v>
      </c>
      <c r="B22" t="s">
        <v>131</v>
      </c>
      <c r="C22" t="s">
        <v>16</v>
      </c>
      <c r="D22" t="s">
        <v>17</v>
      </c>
      <c r="E22" t="s">
        <v>140</v>
      </c>
      <c r="F22" t="s">
        <v>6</v>
      </c>
      <c r="G22" s="4" t="s">
        <v>141</v>
      </c>
      <c r="H22" s="4" t="s">
        <v>87</v>
      </c>
      <c r="I22" s="4" t="s">
        <v>71</v>
      </c>
      <c r="J22" s="5">
        <v>0.15</v>
      </c>
      <c r="K22" s="6">
        <v>46275.708333333336</v>
      </c>
      <c r="L22" s="6">
        <v>46290.708333333336</v>
      </c>
      <c r="M22" s="4" t="s">
        <v>142</v>
      </c>
      <c r="N22" s="4" t="s">
        <v>136</v>
      </c>
      <c r="O22" s="4" t="s">
        <v>74</v>
      </c>
    </row>
    <row r="23" spans="1:15" ht="28">
      <c r="A23" t="s">
        <v>15</v>
      </c>
      <c r="B23" t="s">
        <v>131</v>
      </c>
      <c r="C23" t="s">
        <v>16</v>
      </c>
      <c r="D23" t="s">
        <v>17</v>
      </c>
      <c r="E23" t="s">
        <v>143</v>
      </c>
      <c r="F23" t="s">
        <v>6</v>
      </c>
      <c r="G23" s="4" t="s">
        <v>144</v>
      </c>
      <c r="H23" s="4" t="s">
        <v>83</v>
      </c>
      <c r="I23" s="4" t="s">
        <v>145</v>
      </c>
      <c r="J23" s="5">
        <v>0.15</v>
      </c>
      <c r="K23" s="6">
        <v>46278.708333333336</v>
      </c>
      <c r="L23" s="6">
        <v>46294.708333333336</v>
      </c>
      <c r="M23" s="4" t="s">
        <v>146</v>
      </c>
      <c r="N23" s="4" t="s">
        <v>136</v>
      </c>
      <c r="O23" s="4" t="s">
        <v>74</v>
      </c>
    </row>
    <row r="24" spans="1:15" ht="28">
      <c r="A24" t="s">
        <v>15</v>
      </c>
      <c r="B24" t="s">
        <v>131</v>
      </c>
      <c r="C24" t="s">
        <v>16</v>
      </c>
      <c r="D24" t="s">
        <v>17</v>
      </c>
      <c r="E24" t="s">
        <v>147</v>
      </c>
      <c r="F24" t="s">
        <v>6</v>
      </c>
      <c r="G24" s="4" t="s">
        <v>148</v>
      </c>
      <c r="H24" s="4" t="s">
        <v>121</v>
      </c>
      <c r="I24" s="4" t="s">
        <v>120</v>
      </c>
      <c r="J24" s="5">
        <v>0.1</v>
      </c>
      <c r="K24" s="6">
        <v>46283.708333333336</v>
      </c>
      <c r="L24" s="6">
        <v>46299.708333333336</v>
      </c>
      <c r="M24" s="4" t="s">
        <v>149</v>
      </c>
      <c r="N24" s="4" t="s">
        <v>136</v>
      </c>
      <c r="O24" s="4" t="s">
        <v>74</v>
      </c>
    </row>
    <row r="25" spans="1:15" ht="28">
      <c r="A25" t="s">
        <v>15</v>
      </c>
      <c r="B25" t="s">
        <v>131</v>
      </c>
      <c r="C25" t="s">
        <v>16</v>
      </c>
      <c r="D25" t="s">
        <v>17</v>
      </c>
      <c r="E25" t="s">
        <v>150</v>
      </c>
      <c r="F25" t="s">
        <v>6</v>
      </c>
      <c r="G25" s="4" t="s">
        <v>151</v>
      </c>
      <c r="H25" s="4" t="s">
        <v>71</v>
      </c>
      <c r="I25" s="4" t="s">
        <v>87</v>
      </c>
      <c r="J25" s="5">
        <v>0.15</v>
      </c>
      <c r="K25" s="6">
        <v>46290.708333333336</v>
      </c>
      <c r="L25" s="6">
        <v>46303.708333333336</v>
      </c>
      <c r="M25" s="4" t="s">
        <v>152</v>
      </c>
      <c r="N25" s="4" t="s">
        <v>136</v>
      </c>
      <c r="O25" s="4" t="s">
        <v>74</v>
      </c>
    </row>
    <row r="26" spans="1:15" ht="28">
      <c r="A26" t="s">
        <v>15</v>
      </c>
      <c r="B26" t="s">
        <v>131</v>
      </c>
      <c r="C26" t="s">
        <v>16</v>
      </c>
      <c r="D26" t="s">
        <v>17</v>
      </c>
      <c r="E26" t="s">
        <v>153</v>
      </c>
      <c r="F26" t="s">
        <v>7</v>
      </c>
      <c r="G26" s="4" t="s">
        <v>98</v>
      </c>
      <c r="H26" s="4" t="s">
        <v>99</v>
      </c>
      <c r="I26" s="4" t="s">
        <v>100</v>
      </c>
      <c r="J26" s="5">
        <v>0.1</v>
      </c>
      <c r="K26" s="6">
        <v>46304.708333333336</v>
      </c>
      <c r="L26" s="6">
        <v>46306.708333333336</v>
      </c>
      <c r="M26" s="4" t="s">
        <v>101</v>
      </c>
      <c r="N26" s="4" t="s">
        <v>102</v>
      </c>
      <c r="O26" s="4" t="s">
        <v>74</v>
      </c>
    </row>
    <row r="27" spans="1:15" ht="28">
      <c r="A27" t="s">
        <v>15</v>
      </c>
      <c r="B27" t="s">
        <v>131</v>
      </c>
      <c r="C27" t="s">
        <v>16</v>
      </c>
      <c r="D27" t="s">
        <v>17</v>
      </c>
      <c r="E27" t="s">
        <v>154</v>
      </c>
      <c r="F27" t="s">
        <v>104</v>
      </c>
      <c r="G27" s="4" t="s">
        <v>105</v>
      </c>
      <c r="H27" s="4" t="s">
        <v>106</v>
      </c>
      <c r="I27" s="4" t="s">
        <v>107</v>
      </c>
      <c r="J27" s="5">
        <v>0.05</v>
      </c>
      <c r="K27" s="6">
        <v>46307.708333333336</v>
      </c>
      <c r="L27" s="6">
        <v>46310.708333333336</v>
      </c>
      <c r="M27" s="4" t="s">
        <v>108</v>
      </c>
      <c r="N27" s="4" t="s">
        <v>109</v>
      </c>
      <c r="O27" s="4" t="s">
        <v>110</v>
      </c>
    </row>
    <row r="28" spans="1:15" ht="28">
      <c r="A28" t="s">
        <v>15</v>
      </c>
      <c r="B28" t="s">
        <v>131</v>
      </c>
      <c r="C28" t="s">
        <v>18</v>
      </c>
      <c r="D28" t="s">
        <v>19</v>
      </c>
      <c r="E28" t="s">
        <v>155</v>
      </c>
      <c r="F28" t="s">
        <v>6</v>
      </c>
      <c r="G28" s="4" t="s">
        <v>156</v>
      </c>
      <c r="H28" s="4" t="s">
        <v>157</v>
      </c>
      <c r="I28" s="4" t="s">
        <v>158</v>
      </c>
      <c r="J28" s="5">
        <v>0.15</v>
      </c>
      <c r="K28" s="6">
        <v>46278.708333333336</v>
      </c>
      <c r="L28" s="6">
        <v>46287.708333333336</v>
      </c>
      <c r="M28" s="4" t="s">
        <v>159</v>
      </c>
      <c r="N28" s="4" t="s">
        <v>160</v>
      </c>
      <c r="O28" s="4" t="s">
        <v>74</v>
      </c>
    </row>
    <row r="29" spans="1:15" ht="28">
      <c r="A29" t="s">
        <v>15</v>
      </c>
      <c r="B29" t="s">
        <v>131</v>
      </c>
      <c r="C29" t="s">
        <v>18</v>
      </c>
      <c r="D29" t="s">
        <v>19</v>
      </c>
      <c r="E29" t="s">
        <v>161</v>
      </c>
      <c r="F29" t="s">
        <v>6</v>
      </c>
      <c r="G29" s="4" t="s">
        <v>162</v>
      </c>
      <c r="H29" s="4" t="s">
        <v>87</v>
      </c>
      <c r="I29" s="4" t="s">
        <v>71</v>
      </c>
      <c r="J29" s="5">
        <v>0.2</v>
      </c>
      <c r="K29" s="6">
        <v>46280.708333333336</v>
      </c>
      <c r="L29" s="6">
        <v>46292.708333333336</v>
      </c>
      <c r="M29" s="4" t="s">
        <v>163</v>
      </c>
      <c r="N29" s="4" t="s">
        <v>160</v>
      </c>
      <c r="O29" s="4" t="s">
        <v>74</v>
      </c>
    </row>
    <row r="30" spans="1:15" ht="28">
      <c r="A30" t="s">
        <v>15</v>
      </c>
      <c r="B30" t="s">
        <v>131</v>
      </c>
      <c r="C30" t="s">
        <v>18</v>
      </c>
      <c r="D30" t="s">
        <v>19</v>
      </c>
      <c r="E30" t="s">
        <v>164</v>
      </c>
      <c r="F30" t="s">
        <v>6</v>
      </c>
      <c r="G30" s="4" t="s">
        <v>165</v>
      </c>
      <c r="H30" s="4" t="s">
        <v>166</v>
      </c>
      <c r="I30" s="4" t="s">
        <v>120</v>
      </c>
      <c r="J30" s="5">
        <v>0.15</v>
      </c>
      <c r="K30" s="6">
        <v>46283.708333333336</v>
      </c>
      <c r="L30" s="6">
        <v>46296.708333333336</v>
      </c>
      <c r="M30" s="4" t="s">
        <v>167</v>
      </c>
      <c r="N30" s="4" t="s">
        <v>160</v>
      </c>
      <c r="O30" s="4" t="s">
        <v>74</v>
      </c>
    </row>
    <row r="31" spans="1:15" ht="28">
      <c r="A31" t="s">
        <v>15</v>
      </c>
      <c r="B31" t="s">
        <v>131</v>
      </c>
      <c r="C31" t="s">
        <v>18</v>
      </c>
      <c r="D31" t="s">
        <v>19</v>
      </c>
      <c r="E31" t="s">
        <v>168</v>
      </c>
      <c r="F31" t="s">
        <v>6</v>
      </c>
      <c r="G31" s="4" t="s">
        <v>169</v>
      </c>
      <c r="H31" s="4" t="s">
        <v>158</v>
      </c>
      <c r="I31" s="4" t="s">
        <v>170</v>
      </c>
      <c r="J31" s="5">
        <v>0.15</v>
      </c>
      <c r="K31" s="6">
        <v>46287.708333333336</v>
      </c>
      <c r="L31" s="6">
        <v>46299.708333333336</v>
      </c>
      <c r="M31" s="4" t="s">
        <v>171</v>
      </c>
      <c r="N31" s="4" t="s">
        <v>160</v>
      </c>
      <c r="O31" s="4" t="s">
        <v>74</v>
      </c>
    </row>
    <row r="32" spans="1:15" ht="28">
      <c r="A32" t="s">
        <v>15</v>
      </c>
      <c r="B32" t="s">
        <v>131</v>
      </c>
      <c r="C32" t="s">
        <v>18</v>
      </c>
      <c r="D32" t="s">
        <v>19</v>
      </c>
      <c r="E32" t="s">
        <v>172</v>
      </c>
      <c r="F32" t="s">
        <v>6</v>
      </c>
      <c r="G32" s="4" t="s">
        <v>173</v>
      </c>
      <c r="H32" s="4" t="s">
        <v>71</v>
      </c>
      <c r="I32" s="4" t="s">
        <v>87</v>
      </c>
      <c r="J32" s="5">
        <v>0.2</v>
      </c>
      <c r="K32" s="6">
        <v>46292.708333333336</v>
      </c>
      <c r="L32" s="6">
        <v>46303.708333333336</v>
      </c>
      <c r="M32" s="4" t="s">
        <v>174</v>
      </c>
      <c r="N32" s="4" t="s">
        <v>160</v>
      </c>
      <c r="O32" s="4" t="s">
        <v>74</v>
      </c>
    </row>
    <row r="33" spans="1:15" ht="28">
      <c r="A33" t="s">
        <v>15</v>
      </c>
      <c r="B33" t="s">
        <v>131</v>
      </c>
      <c r="C33" t="s">
        <v>18</v>
      </c>
      <c r="D33" t="s">
        <v>19</v>
      </c>
      <c r="E33" t="s">
        <v>175</v>
      </c>
      <c r="F33" t="s">
        <v>7</v>
      </c>
      <c r="G33" s="4" t="s">
        <v>98</v>
      </c>
      <c r="H33" s="4" t="s">
        <v>99</v>
      </c>
      <c r="I33" s="4" t="s">
        <v>100</v>
      </c>
      <c r="J33" s="5">
        <v>0.1</v>
      </c>
      <c r="K33" s="6">
        <v>46304.708333333336</v>
      </c>
      <c r="L33" s="6">
        <v>46306.708333333336</v>
      </c>
      <c r="M33" s="4" t="s">
        <v>101</v>
      </c>
      <c r="N33" s="4" t="s">
        <v>102</v>
      </c>
      <c r="O33" s="4" t="s">
        <v>74</v>
      </c>
    </row>
    <row r="34" spans="1:15" ht="28">
      <c r="A34" t="s">
        <v>15</v>
      </c>
      <c r="B34" t="s">
        <v>131</v>
      </c>
      <c r="C34" t="s">
        <v>18</v>
      </c>
      <c r="D34" t="s">
        <v>19</v>
      </c>
      <c r="E34" t="s">
        <v>176</v>
      </c>
      <c r="F34" t="s">
        <v>104</v>
      </c>
      <c r="G34" s="4" t="s">
        <v>105</v>
      </c>
      <c r="H34" s="4" t="s">
        <v>106</v>
      </c>
      <c r="I34" s="4" t="s">
        <v>107</v>
      </c>
      <c r="J34" s="5">
        <v>0.05</v>
      </c>
      <c r="K34" s="6">
        <v>46307.708333333336</v>
      </c>
      <c r="L34" s="6">
        <v>46310.708333333336</v>
      </c>
      <c r="M34" s="4" t="s">
        <v>108</v>
      </c>
      <c r="N34" s="4" t="s">
        <v>109</v>
      </c>
      <c r="O34" s="4" t="s">
        <v>110</v>
      </c>
    </row>
    <row r="35" spans="1:15" ht="28">
      <c r="A35" t="s">
        <v>20</v>
      </c>
      <c r="B35" t="s">
        <v>177</v>
      </c>
      <c r="C35" t="s">
        <v>21</v>
      </c>
      <c r="D35" t="s">
        <v>22</v>
      </c>
      <c r="E35" t="s">
        <v>178</v>
      </c>
      <c r="F35" t="s">
        <v>6</v>
      </c>
      <c r="G35" s="4" t="s">
        <v>179</v>
      </c>
      <c r="H35" s="4" t="s">
        <v>70</v>
      </c>
      <c r="I35" s="4" t="s">
        <v>77</v>
      </c>
      <c r="J35" s="5">
        <v>0.1</v>
      </c>
      <c r="K35" s="6">
        <v>46285.708333333336</v>
      </c>
      <c r="L35" s="6">
        <v>46293.708333333336</v>
      </c>
      <c r="M35" s="4" t="s">
        <v>180</v>
      </c>
      <c r="N35" s="4" t="s">
        <v>181</v>
      </c>
      <c r="O35" s="4" t="s">
        <v>74</v>
      </c>
    </row>
    <row r="36" spans="1:15" ht="28">
      <c r="A36" t="s">
        <v>20</v>
      </c>
      <c r="B36" t="s">
        <v>177</v>
      </c>
      <c r="C36" t="s">
        <v>21</v>
      </c>
      <c r="D36" t="s">
        <v>22</v>
      </c>
      <c r="E36" t="s">
        <v>182</v>
      </c>
      <c r="F36" t="s">
        <v>6</v>
      </c>
      <c r="G36" s="4" t="s">
        <v>183</v>
      </c>
      <c r="H36" s="4" t="s">
        <v>83</v>
      </c>
      <c r="I36" s="4" t="s">
        <v>184</v>
      </c>
      <c r="J36" s="5">
        <v>0.15</v>
      </c>
      <c r="K36" s="6">
        <v>46286.708333333336</v>
      </c>
      <c r="L36" s="6">
        <v>46297.708333333336</v>
      </c>
      <c r="M36" s="4" t="s">
        <v>185</v>
      </c>
      <c r="N36" s="4" t="s">
        <v>181</v>
      </c>
      <c r="O36" s="4" t="s">
        <v>74</v>
      </c>
    </row>
    <row r="37" spans="1:15" ht="28">
      <c r="A37" t="s">
        <v>20</v>
      </c>
      <c r="B37" t="s">
        <v>177</v>
      </c>
      <c r="C37" t="s">
        <v>21</v>
      </c>
      <c r="D37" t="s">
        <v>22</v>
      </c>
      <c r="E37" t="s">
        <v>186</v>
      </c>
      <c r="F37" t="s">
        <v>6</v>
      </c>
      <c r="G37" s="4" t="s">
        <v>187</v>
      </c>
      <c r="H37" s="4" t="s">
        <v>145</v>
      </c>
      <c r="I37" s="4" t="s">
        <v>83</v>
      </c>
      <c r="J37" s="5">
        <v>0.15</v>
      </c>
      <c r="K37" s="6">
        <v>46288.708333333336</v>
      </c>
      <c r="L37" s="6">
        <v>46300.708333333336</v>
      </c>
      <c r="M37" s="4" t="s">
        <v>188</v>
      </c>
      <c r="N37" s="4" t="s">
        <v>181</v>
      </c>
      <c r="O37" s="4" t="s">
        <v>74</v>
      </c>
    </row>
    <row r="38" spans="1:15" ht="28">
      <c r="A38" t="s">
        <v>20</v>
      </c>
      <c r="B38" t="s">
        <v>177</v>
      </c>
      <c r="C38" t="s">
        <v>21</v>
      </c>
      <c r="D38" t="s">
        <v>22</v>
      </c>
      <c r="E38" t="s">
        <v>189</v>
      </c>
      <c r="F38" t="s">
        <v>6</v>
      </c>
      <c r="G38" s="4" t="s">
        <v>190</v>
      </c>
      <c r="H38" s="4" t="s">
        <v>77</v>
      </c>
      <c r="I38" s="4" t="s">
        <v>78</v>
      </c>
      <c r="J38" s="5">
        <v>0.1</v>
      </c>
      <c r="K38" s="6">
        <v>46290.708333333336</v>
      </c>
      <c r="L38" s="6">
        <v>46304.708333333336</v>
      </c>
      <c r="M38" s="4" t="s">
        <v>191</v>
      </c>
      <c r="N38" s="4" t="s">
        <v>181</v>
      </c>
      <c r="O38" s="4" t="s">
        <v>74</v>
      </c>
    </row>
    <row r="39" spans="1:15" ht="28">
      <c r="A39" t="s">
        <v>20</v>
      </c>
      <c r="B39" t="s">
        <v>177</v>
      </c>
      <c r="C39" t="s">
        <v>21</v>
      </c>
      <c r="D39" t="s">
        <v>22</v>
      </c>
      <c r="E39" t="s">
        <v>192</v>
      </c>
      <c r="F39" t="s">
        <v>6</v>
      </c>
      <c r="G39" s="4" t="s">
        <v>193</v>
      </c>
      <c r="H39" s="4" t="s">
        <v>194</v>
      </c>
      <c r="I39" s="4" t="s">
        <v>91</v>
      </c>
      <c r="J39" s="5">
        <v>0.1</v>
      </c>
      <c r="K39" s="6">
        <v>46294.708333333336</v>
      </c>
      <c r="L39" s="6">
        <v>46308.708333333336</v>
      </c>
      <c r="M39" s="4" t="s">
        <v>195</v>
      </c>
      <c r="N39" s="4" t="s">
        <v>181</v>
      </c>
      <c r="O39" s="4" t="s">
        <v>74</v>
      </c>
    </row>
    <row r="40" spans="1:15" ht="28">
      <c r="A40" t="s">
        <v>20</v>
      </c>
      <c r="B40" t="s">
        <v>177</v>
      </c>
      <c r="C40" t="s">
        <v>21</v>
      </c>
      <c r="D40" t="s">
        <v>22</v>
      </c>
      <c r="E40" t="s">
        <v>196</v>
      </c>
      <c r="F40" t="s">
        <v>6</v>
      </c>
      <c r="G40" s="4" t="s">
        <v>197</v>
      </c>
      <c r="H40" s="4" t="s">
        <v>198</v>
      </c>
      <c r="I40" s="4" t="s">
        <v>158</v>
      </c>
      <c r="J40" s="5">
        <v>0.1</v>
      </c>
      <c r="K40" s="6">
        <v>46298.708333333336</v>
      </c>
      <c r="L40" s="6">
        <v>46311.708333333336</v>
      </c>
      <c r="M40" s="4" t="s">
        <v>199</v>
      </c>
      <c r="N40" s="4" t="s">
        <v>181</v>
      </c>
      <c r="O40" s="4" t="s">
        <v>74</v>
      </c>
    </row>
    <row r="41" spans="1:15" ht="28">
      <c r="A41" t="s">
        <v>20</v>
      </c>
      <c r="B41" t="s">
        <v>177</v>
      </c>
      <c r="C41" t="s">
        <v>21</v>
      </c>
      <c r="D41" t="s">
        <v>22</v>
      </c>
      <c r="E41" t="s">
        <v>200</v>
      </c>
      <c r="F41" t="s">
        <v>6</v>
      </c>
      <c r="G41" s="4" t="s">
        <v>201</v>
      </c>
      <c r="H41" s="4" t="s">
        <v>78</v>
      </c>
      <c r="I41" s="4" t="s">
        <v>71</v>
      </c>
      <c r="J41" s="5">
        <v>0.15</v>
      </c>
      <c r="K41" s="6">
        <v>46303.708333333336</v>
      </c>
      <c r="L41" s="6">
        <v>46314.708333333336</v>
      </c>
      <c r="M41" s="4" t="s">
        <v>202</v>
      </c>
      <c r="N41" s="4" t="s">
        <v>181</v>
      </c>
      <c r="O41" s="4" t="s">
        <v>74</v>
      </c>
    </row>
    <row r="42" spans="1:15" ht="28">
      <c r="A42" t="s">
        <v>20</v>
      </c>
      <c r="B42" t="s">
        <v>177</v>
      </c>
      <c r="C42" t="s">
        <v>21</v>
      </c>
      <c r="D42" t="s">
        <v>22</v>
      </c>
      <c r="E42" t="s">
        <v>203</v>
      </c>
      <c r="F42" t="s">
        <v>7</v>
      </c>
      <c r="G42" s="4" t="s">
        <v>98</v>
      </c>
      <c r="H42" s="4" t="s">
        <v>99</v>
      </c>
      <c r="I42" s="4" t="s">
        <v>100</v>
      </c>
      <c r="J42" s="5">
        <v>0.1</v>
      </c>
      <c r="K42" s="6">
        <v>46315.708333333336</v>
      </c>
      <c r="L42" s="6">
        <v>46315.708333333336</v>
      </c>
      <c r="M42" s="4" t="s">
        <v>101</v>
      </c>
      <c r="N42" s="4" t="s">
        <v>102</v>
      </c>
      <c r="O42" s="4" t="s">
        <v>74</v>
      </c>
    </row>
    <row r="43" spans="1:15" ht="28">
      <c r="A43" t="s">
        <v>20</v>
      </c>
      <c r="B43" t="s">
        <v>177</v>
      </c>
      <c r="C43" t="s">
        <v>21</v>
      </c>
      <c r="D43" t="s">
        <v>22</v>
      </c>
      <c r="E43" t="s">
        <v>204</v>
      </c>
      <c r="F43" t="s">
        <v>104</v>
      </c>
      <c r="G43" s="4" t="s">
        <v>105</v>
      </c>
      <c r="H43" s="4" t="s">
        <v>106</v>
      </c>
      <c r="I43" s="4" t="s">
        <v>107</v>
      </c>
      <c r="J43" s="5">
        <v>0.05</v>
      </c>
      <c r="K43" s="6">
        <v>46316.708333333336</v>
      </c>
      <c r="L43" s="6">
        <v>46317.708333333336</v>
      </c>
      <c r="M43" s="4" t="s">
        <v>108</v>
      </c>
      <c r="N43" s="4" t="s">
        <v>109</v>
      </c>
      <c r="O43" s="4" t="s">
        <v>110</v>
      </c>
    </row>
    <row r="44" spans="1:15" ht="28">
      <c r="A44" t="s">
        <v>20</v>
      </c>
      <c r="B44" t="s">
        <v>177</v>
      </c>
      <c r="C44" t="s">
        <v>23</v>
      </c>
      <c r="D44" t="s">
        <v>24</v>
      </c>
      <c r="E44" t="s">
        <v>205</v>
      </c>
      <c r="F44" t="s">
        <v>6</v>
      </c>
      <c r="G44" s="4" t="s">
        <v>206</v>
      </c>
      <c r="H44" s="4" t="s">
        <v>158</v>
      </c>
      <c r="I44" s="4" t="s">
        <v>207</v>
      </c>
      <c r="J44" s="5">
        <v>0.15</v>
      </c>
      <c r="K44" s="6">
        <v>46306.708333333336</v>
      </c>
      <c r="L44" s="6">
        <v>46311.708333333336</v>
      </c>
      <c r="M44" s="4" t="s">
        <v>208</v>
      </c>
      <c r="N44" s="4" t="s">
        <v>209</v>
      </c>
      <c r="O44" s="4" t="s">
        <v>74</v>
      </c>
    </row>
    <row r="45" spans="1:15" ht="28">
      <c r="A45" t="s">
        <v>20</v>
      </c>
      <c r="B45" t="s">
        <v>177</v>
      </c>
      <c r="C45" t="s">
        <v>23</v>
      </c>
      <c r="D45" t="s">
        <v>24</v>
      </c>
      <c r="E45" t="s">
        <v>210</v>
      </c>
      <c r="F45" t="s">
        <v>6</v>
      </c>
      <c r="G45" s="4" t="s">
        <v>211</v>
      </c>
      <c r="H45" s="4" t="s">
        <v>78</v>
      </c>
      <c r="I45" s="4" t="s">
        <v>212</v>
      </c>
      <c r="J45" s="5">
        <v>0.15</v>
      </c>
      <c r="K45" s="6">
        <v>46307.708333333336</v>
      </c>
      <c r="L45" s="6">
        <v>46313.708333333336</v>
      </c>
      <c r="M45" s="4" t="s">
        <v>213</v>
      </c>
      <c r="N45" s="4" t="s">
        <v>209</v>
      </c>
      <c r="O45" s="4" t="s">
        <v>74</v>
      </c>
    </row>
    <row r="46" spans="1:15" ht="28">
      <c r="A46" t="s">
        <v>20</v>
      </c>
      <c r="B46" t="s">
        <v>177</v>
      </c>
      <c r="C46" t="s">
        <v>23</v>
      </c>
      <c r="D46" t="s">
        <v>24</v>
      </c>
      <c r="E46" t="s">
        <v>214</v>
      </c>
      <c r="F46" t="s">
        <v>6</v>
      </c>
      <c r="G46" s="4" t="s">
        <v>215</v>
      </c>
      <c r="H46" s="4" t="s">
        <v>158</v>
      </c>
      <c r="I46" s="4" t="s">
        <v>198</v>
      </c>
      <c r="J46" s="5">
        <v>0.2</v>
      </c>
      <c r="K46" s="6">
        <v>46308.708333333336</v>
      </c>
      <c r="L46" s="6">
        <v>46315.708333333336</v>
      </c>
      <c r="M46" s="4" t="s">
        <v>216</v>
      </c>
      <c r="N46" s="4" t="s">
        <v>209</v>
      </c>
      <c r="O46" s="4" t="s">
        <v>74</v>
      </c>
    </row>
    <row r="47" spans="1:15" ht="28">
      <c r="A47" t="s">
        <v>20</v>
      </c>
      <c r="B47" t="s">
        <v>177</v>
      </c>
      <c r="C47" t="s">
        <v>23</v>
      </c>
      <c r="D47" t="s">
        <v>24</v>
      </c>
      <c r="E47" t="s">
        <v>217</v>
      </c>
      <c r="F47" t="s">
        <v>6</v>
      </c>
      <c r="G47" s="4" t="s">
        <v>218</v>
      </c>
      <c r="H47" s="4" t="s">
        <v>71</v>
      </c>
      <c r="I47" s="4" t="s">
        <v>158</v>
      </c>
      <c r="J47" s="5">
        <v>0.1</v>
      </c>
      <c r="K47" s="6">
        <v>46309.708333333336</v>
      </c>
      <c r="L47" s="6">
        <v>46317.708333333336</v>
      </c>
      <c r="M47" s="4" t="s">
        <v>219</v>
      </c>
      <c r="N47" s="4" t="s">
        <v>209</v>
      </c>
      <c r="O47" s="4" t="s">
        <v>74</v>
      </c>
    </row>
    <row r="48" spans="1:15" ht="28">
      <c r="A48" t="s">
        <v>20</v>
      </c>
      <c r="B48" t="s">
        <v>177</v>
      </c>
      <c r="C48" t="s">
        <v>23</v>
      </c>
      <c r="D48" t="s">
        <v>24</v>
      </c>
      <c r="E48" t="s">
        <v>220</v>
      </c>
      <c r="F48" t="s">
        <v>6</v>
      </c>
      <c r="G48" s="4" t="s">
        <v>221</v>
      </c>
      <c r="H48" s="4" t="s">
        <v>158</v>
      </c>
      <c r="I48" s="4" t="s">
        <v>198</v>
      </c>
      <c r="J48" s="5">
        <v>0.1</v>
      </c>
      <c r="K48" s="6">
        <v>46312.708333333336</v>
      </c>
      <c r="L48" s="6">
        <v>46319.708333333336</v>
      </c>
      <c r="M48" s="4" t="s">
        <v>222</v>
      </c>
      <c r="N48" s="4" t="s">
        <v>209</v>
      </c>
      <c r="O48" s="4" t="s">
        <v>74</v>
      </c>
    </row>
    <row r="49" spans="1:15" ht="28">
      <c r="A49" t="s">
        <v>20</v>
      </c>
      <c r="B49" t="s">
        <v>177</v>
      </c>
      <c r="C49" t="s">
        <v>23</v>
      </c>
      <c r="D49" t="s">
        <v>24</v>
      </c>
      <c r="E49" t="s">
        <v>223</v>
      </c>
      <c r="F49" t="s">
        <v>6</v>
      </c>
      <c r="G49" s="4" t="s">
        <v>224</v>
      </c>
      <c r="H49" s="4" t="s">
        <v>158</v>
      </c>
      <c r="I49" s="4" t="s">
        <v>225</v>
      </c>
      <c r="J49" s="5">
        <v>0.15</v>
      </c>
      <c r="K49" s="6">
        <v>46315.708333333336</v>
      </c>
      <c r="L49" s="6">
        <v>46321.708333333336</v>
      </c>
      <c r="M49" s="4" t="s">
        <v>226</v>
      </c>
      <c r="N49" s="4" t="s">
        <v>209</v>
      </c>
      <c r="O49" s="4" t="s">
        <v>74</v>
      </c>
    </row>
    <row r="50" spans="1:15" ht="28">
      <c r="A50" t="s">
        <v>20</v>
      </c>
      <c r="B50" t="s">
        <v>177</v>
      </c>
      <c r="C50" t="s">
        <v>23</v>
      </c>
      <c r="D50" t="s">
        <v>24</v>
      </c>
      <c r="E50" t="s">
        <v>227</v>
      </c>
      <c r="F50" t="s">
        <v>7</v>
      </c>
      <c r="G50" s="4" t="s">
        <v>98</v>
      </c>
      <c r="H50" s="4" t="s">
        <v>99</v>
      </c>
      <c r="I50" s="4" t="s">
        <v>100</v>
      </c>
      <c r="J50" s="5">
        <v>0.1</v>
      </c>
      <c r="K50" s="6">
        <v>46322.708333333336</v>
      </c>
      <c r="L50" s="6">
        <v>46322.708333333336</v>
      </c>
      <c r="M50" s="4" t="s">
        <v>101</v>
      </c>
      <c r="N50" s="4" t="s">
        <v>102</v>
      </c>
      <c r="O50" s="4" t="s">
        <v>74</v>
      </c>
    </row>
    <row r="51" spans="1:15" ht="28">
      <c r="A51" t="s">
        <v>20</v>
      </c>
      <c r="B51" t="s">
        <v>177</v>
      </c>
      <c r="C51" t="s">
        <v>23</v>
      </c>
      <c r="D51" t="s">
        <v>24</v>
      </c>
      <c r="E51" t="s">
        <v>228</v>
      </c>
      <c r="F51" t="s">
        <v>104</v>
      </c>
      <c r="G51" s="4" t="s">
        <v>105</v>
      </c>
      <c r="H51" s="4" t="s">
        <v>106</v>
      </c>
      <c r="I51" s="4" t="s">
        <v>107</v>
      </c>
      <c r="J51" s="5">
        <v>0.05</v>
      </c>
      <c r="K51" s="6">
        <v>46323.708333333336</v>
      </c>
      <c r="L51" s="6">
        <v>46324.708333333336</v>
      </c>
      <c r="M51" s="4" t="s">
        <v>108</v>
      </c>
      <c r="N51" s="4" t="s">
        <v>109</v>
      </c>
      <c r="O51" s="4" t="s">
        <v>110</v>
      </c>
    </row>
    <row r="52" spans="1:15" ht="28">
      <c r="A52" t="s">
        <v>20</v>
      </c>
      <c r="B52" t="s">
        <v>177</v>
      </c>
      <c r="C52" t="s">
        <v>25</v>
      </c>
      <c r="D52" t="s">
        <v>26</v>
      </c>
      <c r="E52" t="s">
        <v>229</v>
      </c>
      <c r="F52" t="s">
        <v>6</v>
      </c>
      <c r="G52" s="4" t="s">
        <v>230</v>
      </c>
      <c r="H52" s="4" t="s">
        <v>77</v>
      </c>
      <c r="I52" s="4" t="s">
        <v>78</v>
      </c>
      <c r="J52" s="5">
        <v>0.15</v>
      </c>
      <c r="K52" s="6">
        <v>46313.708333333336</v>
      </c>
      <c r="L52" s="6">
        <v>46318.708333333336</v>
      </c>
      <c r="M52" s="4" t="s">
        <v>231</v>
      </c>
      <c r="N52" s="4" t="s">
        <v>232</v>
      </c>
      <c r="O52" s="4" t="s">
        <v>74</v>
      </c>
    </row>
    <row r="53" spans="1:15" ht="28">
      <c r="A53" t="s">
        <v>20</v>
      </c>
      <c r="B53" t="s">
        <v>177</v>
      </c>
      <c r="C53" t="s">
        <v>25</v>
      </c>
      <c r="D53" t="s">
        <v>26</v>
      </c>
      <c r="E53" t="s">
        <v>233</v>
      </c>
      <c r="F53" t="s">
        <v>6</v>
      </c>
      <c r="G53" s="4" t="s">
        <v>234</v>
      </c>
      <c r="H53" s="4" t="s">
        <v>235</v>
      </c>
      <c r="I53" s="4" t="s">
        <v>78</v>
      </c>
      <c r="J53" s="5">
        <v>0.15</v>
      </c>
      <c r="K53" s="6">
        <v>46314.708333333336</v>
      </c>
      <c r="L53" s="6">
        <v>46320.708333333336</v>
      </c>
      <c r="M53" s="4" t="s">
        <v>236</v>
      </c>
      <c r="N53" s="4" t="s">
        <v>232</v>
      </c>
      <c r="O53" s="4" t="s">
        <v>74</v>
      </c>
    </row>
    <row r="54" spans="1:15" ht="28">
      <c r="A54" t="s">
        <v>20</v>
      </c>
      <c r="B54" t="s">
        <v>177</v>
      </c>
      <c r="C54" t="s">
        <v>25</v>
      </c>
      <c r="D54" t="s">
        <v>26</v>
      </c>
      <c r="E54" t="s">
        <v>237</v>
      </c>
      <c r="F54" t="s">
        <v>6</v>
      </c>
      <c r="G54" s="4" t="s">
        <v>238</v>
      </c>
      <c r="H54" s="4" t="s">
        <v>82</v>
      </c>
      <c r="I54" s="4" t="s">
        <v>83</v>
      </c>
      <c r="J54" s="5">
        <v>0.15</v>
      </c>
      <c r="K54" s="6">
        <v>46315.708333333336</v>
      </c>
      <c r="L54" s="6">
        <v>46322.708333333336</v>
      </c>
      <c r="M54" s="4" t="s">
        <v>239</v>
      </c>
      <c r="N54" s="4" t="s">
        <v>232</v>
      </c>
      <c r="O54" s="4" t="s">
        <v>74</v>
      </c>
    </row>
    <row r="55" spans="1:15" ht="28">
      <c r="A55" t="s">
        <v>20</v>
      </c>
      <c r="B55" t="s">
        <v>177</v>
      </c>
      <c r="C55" t="s">
        <v>25</v>
      </c>
      <c r="D55" t="s">
        <v>26</v>
      </c>
      <c r="E55" t="s">
        <v>240</v>
      </c>
      <c r="F55" t="s">
        <v>6</v>
      </c>
      <c r="G55" s="4" t="s">
        <v>241</v>
      </c>
      <c r="H55" s="4" t="s">
        <v>78</v>
      </c>
      <c r="I55" s="4" t="s">
        <v>120</v>
      </c>
      <c r="J55" s="5">
        <v>0.1</v>
      </c>
      <c r="K55" s="6">
        <v>46316.708333333336</v>
      </c>
      <c r="L55" s="6">
        <v>46324.708333333336</v>
      </c>
      <c r="M55" s="4" t="s">
        <v>242</v>
      </c>
      <c r="N55" s="4" t="s">
        <v>232</v>
      </c>
      <c r="O55" s="4" t="s">
        <v>74</v>
      </c>
    </row>
    <row r="56" spans="1:15" ht="28">
      <c r="A56" t="s">
        <v>20</v>
      </c>
      <c r="B56" t="s">
        <v>177</v>
      </c>
      <c r="C56" t="s">
        <v>25</v>
      </c>
      <c r="D56" t="s">
        <v>26</v>
      </c>
      <c r="E56" t="s">
        <v>243</v>
      </c>
      <c r="F56" t="s">
        <v>6</v>
      </c>
      <c r="G56" s="4" t="s">
        <v>244</v>
      </c>
      <c r="H56" s="4" t="s">
        <v>245</v>
      </c>
      <c r="I56" s="4" t="s">
        <v>87</v>
      </c>
      <c r="J56" s="5">
        <v>0.1</v>
      </c>
      <c r="K56" s="6">
        <v>46319.708333333336</v>
      </c>
      <c r="L56" s="6">
        <v>46326.708333333336</v>
      </c>
      <c r="M56" s="4" t="s">
        <v>246</v>
      </c>
      <c r="N56" s="4" t="s">
        <v>232</v>
      </c>
      <c r="O56" s="4" t="s">
        <v>74</v>
      </c>
    </row>
    <row r="57" spans="1:15" ht="28">
      <c r="A57" t="s">
        <v>20</v>
      </c>
      <c r="B57" t="s">
        <v>177</v>
      </c>
      <c r="C57" t="s">
        <v>25</v>
      </c>
      <c r="D57" t="s">
        <v>26</v>
      </c>
      <c r="E57" t="s">
        <v>247</v>
      </c>
      <c r="F57" t="s">
        <v>6</v>
      </c>
      <c r="G57" s="4" t="s">
        <v>248</v>
      </c>
      <c r="H57" s="4" t="s">
        <v>78</v>
      </c>
      <c r="I57" s="4" t="s">
        <v>249</v>
      </c>
      <c r="J57" s="5">
        <v>0.2</v>
      </c>
      <c r="K57" s="6">
        <v>46322.708333333336</v>
      </c>
      <c r="L57" s="6">
        <v>46328.708333333336</v>
      </c>
      <c r="M57" s="4" t="s">
        <v>250</v>
      </c>
      <c r="N57" s="4" t="s">
        <v>232</v>
      </c>
      <c r="O57" s="4" t="s">
        <v>74</v>
      </c>
    </row>
    <row r="58" spans="1:15" ht="28">
      <c r="A58" t="s">
        <v>20</v>
      </c>
      <c r="B58" t="s">
        <v>177</v>
      </c>
      <c r="C58" t="s">
        <v>25</v>
      </c>
      <c r="D58" t="s">
        <v>26</v>
      </c>
      <c r="E58" t="s">
        <v>251</v>
      </c>
      <c r="F58" t="s">
        <v>7</v>
      </c>
      <c r="G58" s="4" t="s">
        <v>98</v>
      </c>
      <c r="H58" s="4" t="s">
        <v>99</v>
      </c>
      <c r="I58" s="4" t="s">
        <v>100</v>
      </c>
      <c r="J58" s="5">
        <v>0.1</v>
      </c>
      <c r="K58" s="6">
        <v>46329.708333333336</v>
      </c>
      <c r="L58" s="6">
        <v>46329.708333333336</v>
      </c>
      <c r="M58" s="4" t="s">
        <v>101</v>
      </c>
      <c r="N58" s="4" t="s">
        <v>102</v>
      </c>
      <c r="O58" s="4" t="s">
        <v>74</v>
      </c>
    </row>
    <row r="59" spans="1:15" ht="28">
      <c r="A59" t="s">
        <v>20</v>
      </c>
      <c r="B59" t="s">
        <v>177</v>
      </c>
      <c r="C59" t="s">
        <v>25</v>
      </c>
      <c r="D59" t="s">
        <v>26</v>
      </c>
      <c r="E59" t="s">
        <v>252</v>
      </c>
      <c r="F59" t="s">
        <v>104</v>
      </c>
      <c r="G59" s="4" t="s">
        <v>105</v>
      </c>
      <c r="H59" s="4" t="s">
        <v>106</v>
      </c>
      <c r="I59" s="4" t="s">
        <v>107</v>
      </c>
      <c r="J59" s="5">
        <v>0.05</v>
      </c>
      <c r="K59" s="6">
        <v>46330.708333333336</v>
      </c>
      <c r="L59" s="6">
        <v>46331.708333333336</v>
      </c>
      <c r="M59" s="4" t="s">
        <v>108</v>
      </c>
      <c r="N59" s="4" t="s">
        <v>109</v>
      </c>
      <c r="O59" s="4" t="s">
        <v>110</v>
      </c>
    </row>
    <row r="60" spans="1:15" ht="28">
      <c r="A60" t="s">
        <v>27</v>
      </c>
      <c r="B60" t="s">
        <v>253</v>
      </c>
      <c r="C60" t="s">
        <v>28</v>
      </c>
      <c r="D60" t="s">
        <v>29</v>
      </c>
      <c r="E60" t="s">
        <v>254</v>
      </c>
      <c r="F60" t="s">
        <v>6</v>
      </c>
      <c r="G60" s="4" t="s">
        <v>255</v>
      </c>
      <c r="H60" s="4" t="s">
        <v>256</v>
      </c>
      <c r="I60" s="4" t="s">
        <v>87</v>
      </c>
      <c r="J60" s="5">
        <v>0.15</v>
      </c>
      <c r="K60" s="6">
        <v>46285.708333333336</v>
      </c>
      <c r="L60" s="6">
        <v>46296.708333333336</v>
      </c>
      <c r="M60" s="4" t="s">
        <v>257</v>
      </c>
      <c r="N60" s="4" t="s">
        <v>258</v>
      </c>
      <c r="O60" s="4" t="s">
        <v>74</v>
      </c>
    </row>
    <row r="61" spans="1:15" ht="28">
      <c r="A61" t="s">
        <v>27</v>
      </c>
      <c r="B61" t="s">
        <v>253</v>
      </c>
      <c r="C61" t="s">
        <v>28</v>
      </c>
      <c r="D61" t="s">
        <v>29</v>
      </c>
      <c r="E61" t="s">
        <v>259</v>
      </c>
      <c r="F61" t="s">
        <v>6</v>
      </c>
      <c r="G61" s="4" t="s">
        <v>260</v>
      </c>
      <c r="H61" s="4" t="s">
        <v>261</v>
      </c>
      <c r="I61" s="4" t="s">
        <v>262</v>
      </c>
      <c r="J61" s="5">
        <v>0.15</v>
      </c>
      <c r="K61" s="6">
        <v>46287.708333333336</v>
      </c>
      <c r="L61" s="6">
        <v>46301.708333333336</v>
      </c>
      <c r="M61" s="4" t="s">
        <v>263</v>
      </c>
      <c r="N61" s="4" t="s">
        <v>258</v>
      </c>
      <c r="O61" s="4" t="s">
        <v>74</v>
      </c>
    </row>
    <row r="62" spans="1:15" ht="28">
      <c r="A62" t="s">
        <v>27</v>
      </c>
      <c r="B62" t="s">
        <v>253</v>
      </c>
      <c r="C62" t="s">
        <v>28</v>
      </c>
      <c r="D62" t="s">
        <v>29</v>
      </c>
      <c r="E62" t="s">
        <v>264</v>
      </c>
      <c r="F62" t="s">
        <v>6</v>
      </c>
      <c r="G62" s="4" t="s">
        <v>265</v>
      </c>
      <c r="H62" s="4" t="s">
        <v>256</v>
      </c>
      <c r="I62" s="4" t="s">
        <v>71</v>
      </c>
      <c r="J62" s="5">
        <v>0.15</v>
      </c>
      <c r="K62" s="6">
        <v>46289.708333333336</v>
      </c>
      <c r="L62" s="6">
        <v>46306.708333333336</v>
      </c>
      <c r="M62" s="4" t="s">
        <v>266</v>
      </c>
      <c r="N62" s="4" t="s">
        <v>258</v>
      </c>
      <c r="O62" s="4" t="s">
        <v>74</v>
      </c>
    </row>
    <row r="63" spans="1:15" ht="28">
      <c r="A63" t="s">
        <v>27</v>
      </c>
      <c r="B63" t="s">
        <v>253</v>
      </c>
      <c r="C63" t="s">
        <v>28</v>
      </c>
      <c r="D63" t="s">
        <v>29</v>
      </c>
      <c r="E63" t="s">
        <v>267</v>
      </c>
      <c r="F63" t="s">
        <v>6</v>
      </c>
      <c r="G63" s="4" t="s">
        <v>268</v>
      </c>
      <c r="H63" s="4" t="s">
        <v>269</v>
      </c>
      <c r="I63" s="4" t="s">
        <v>256</v>
      </c>
      <c r="J63" s="5">
        <v>0.15</v>
      </c>
      <c r="K63" s="6">
        <v>46293.708333333336</v>
      </c>
      <c r="L63" s="6">
        <v>46311.708333333336</v>
      </c>
      <c r="M63" s="4" t="s">
        <v>270</v>
      </c>
      <c r="N63" s="4" t="s">
        <v>258</v>
      </c>
      <c r="O63" s="4" t="s">
        <v>74</v>
      </c>
    </row>
    <row r="64" spans="1:15" ht="28">
      <c r="A64" t="s">
        <v>27</v>
      </c>
      <c r="B64" t="s">
        <v>253</v>
      </c>
      <c r="C64" t="s">
        <v>28</v>
      </c>
      <c r="D64" t="s">
        <v>29</v>
      </c>
      <c r="E64" t="s">
        <v>271</v>
      </c>
      <c r="F64" t="s">
        <v>6</v>
      </c>
      <c r="G64" s="4" t="s">
        <v>272</v>
      </c>
      <c r="H64" s="4" t="s">
        <v>273</v>
      </c>
      <c r="I64" s="4" t="s">
        <v>256</v>
      </c>
      <c r="J64" s="5">
        <v>0.1</v>
      </c>
      <c r="K64" s="6">
        <v>46299.708333333336</v>
      </c>
      <c r="L64" s="6">
        <v>46316.708333333336</v>
      </c>
      <c r="M64" s="4" t="s">
        <v>274</v>
      </c>
      <c r="N64" s="4" t="s">
        <v>258</v>
      </c>
      <c r="O64" s="4" t="s">
        <v>74</v>
      </c>
    </row>
    <row r="65" spans="1:15" ht="28">
      <c r="A65" t="s">
        <v>27</v>
      </c>
      <c r="B65" t="s">
        <v>253</v>
      </c>
      <c r="C65" t="s">
        <v>28</v>
      </c>
      <c r="D65" t="s">
        <v>29</v>
      </c>
      <c r="E65" t="s">
        <v>275</v>
      </c>
      <c r="F65" t="s">
        <v>6</v>
      </c>
      <c r="G65" s="4" t="s">
        <v>276</v>
      </c>
      <c r="H65" s="4" t="s">
        <v>87</v>
      </c>
      <c r="I65" s="4" t="s">
        <v>277</v>
      </c>
      <c r="J65" s="5">
        <v>0.15</v>
      </c>
      <c r="K65" s="6">
        <v>46306.708333333336</v>
      </c>
      <c r="L65" s="6">
        <v>46321.708333333336</v>
      </c>
      <c r="M65" s="4" t="s">
        <v>278</v>
      </c>
      <c r="N65" s="4" t="s">
        <v>258</v>
      </c>
      <c r="O65" s="4" t="s">
        <v>74</v>
      </c>
    </row>
    <row r="66" spans="1:15" ht="28">
      <c r="A66" t="s">
        <v>27</v>
      </c>
      <c r="B66" t="s">
        <v>253</v>
      </c>
      <c r="C66" t="s">
        <v>28</v>
      </c>
      <c r="D66" t="s">
        <v>29</v>
      </c>
      <c r="E66" t="s">
        <v>279</v>
      </c>
      <c r="F66" t="s">
        <v>7</v>
      </c>
      <c r="G66" s="4" t="s">
        <v>98</v>
      </c>
      <c r="H66" s="4" t="s">
        <v>99</v>
      </c>
      <c r="I66" s="4" t="s">
        <v>100</v>
      </c>
      <c r="J66" s="5">
        <v>0.1</v>
      </c>
      <c r="K66" s="6">
        <v>46322.708333333336</v>
      </c>
      <c r="L66" s="6">
        <v>46322.708333333336</v>
      </c>
      <c r="M66" s="4" t="s">
        <v>101</v>
      </c>
      <c r="N66" s="4" t="s">
        <v>102</v>
      </c>
      <c r="O66" s="4" t="s">
        <v>74</v>
      </c>
    </row>
    <row r="67" spans="1:15" ht="28">
      <c r="A67" t="s">
        <v>27</v>
      </c>
      <c r="B67" t="s">
        <v>253</v>
      </c>
      <c r="C67" t="s">
        <v>28</v>
      </c>
      <c r="D67" t="s">
        <v>29</v>
      </c>
      <c r="E67" t="s">
        <v>280</v>
      </c>
      <c r="F67" t="s">
        <v>104</v>
      </c>
      <c r="G67" s="4" t="s">
        <v>105</v>
      </c>
      <c r="H67" s="4" t="s">
        <v>106</v>
      </c>
      <c r="I67" s="4" t="s">
        <v>107</v>
      </c>
      <c r="J67" s="5">
        <v>0.05</v>
      </c>
      <c r="K67" s="6">
        <v>46323.708333333336</v>
      </c>
      <c r="L67" s="6">
        <v>46324.708333333336</v>
      </c>
      <c r="M67" s="4" t="s">
        <v>108</v>
      </c>
      <c r="N67" s="4" t="s">
        <v>109</v>
      </c>
      <c r="O67" s="4" t="s">
        <v>110</v>
      </c>
    </row>
    <row r="68" spans="1:15" ht="28">
      <c r="A68" t="s">
        <v>27</v>
      </c>
      <c r="B68" t="s">
        <v>253</v>
      </c>
      <c r="C68" t="s">
        <v>30</v>
      </c>
      <c r="D68" t="s">
        <v>31</v>
      </c>
      <c r="E68" t="s">
        <v>281</v>
      </c>
      <c r="F68" t="s">
        <v>6</v>
      </c>
      <c r="G68" s="4" t="s">
        <v>282</v>
      </c>
      <c r="H68" s="4" t="s">
        <v>256</v>
      </c>
      <c r="I68" s="4" t="s">
        <v>87</v>
      </c>
      <c r="J68" s="5">
        <v>0.15</v>
      </c>
      <c r="K68" s="6">
        <v>46306.708333333336</v>
      </c>
      <c r="L68" s="6">
        <v>46315.708333333336</v>
      </c>
      <c r="M68" s="4" t="s">
        <v>283</v>
      </c>
      <c r="N68" s="4" t="s">
        <v>284</v>
      </c>
      <c r="O68" s="4" t="s">
        <v>74</v>
      </c>
    </row>
    <row r="69" spans="1:15" ht="28">
      <c r="A69" t="s">
        <v>27</v>
      </c>
      <c r="B69" t="s">
        <v>253</v>
      </c>
      <c r="C69" t="s">
        <v>30</v>
      </c>
      <c r="D69" t="s">
        <v>31</v>
      </c>
      <c r="E69" t="s">
        <v>285</v>
      </c>
      <c r="F69" t="s">
        <v>6</v>
      </c>
      <c r="G69" s="4" t="s">
        <v>286</v>
      </c>
      <c r="H69" s="4" t="s">
        <v>287</v>
      </c>
      <c r="I69" s="4" t="s">
        <v>256</v>
      </c>
      <c r="J69" s="5">
        <v>0.15</v>
      </c>
      <c r="K69" s="6">
        <v>46307.708333333336</v>
      </c>
      <c r="L69" s="6">
        <v>46319.708333333336</v>
      </c>
      <c r="M69" s="4" t="s">
        <v>288</v>
      </c>
      <c r="N69" s="4" t="s">
        <v>284</v>
      </c>
      <c r="O69" s="4" t="s">
        <v>74</v>
      </c>
    </row>
    <row r="70" spans="1:15" ht="28">
      <c r="A70" t="s">
        <v>27</v>
      </c>
      <c r="B70" t="s">
        <v>253</v>
      </c>
      <c r="C70" t="s">
        <v>30</v>
      </c>
      <c r="D70" t="s">
        <v>31</v>
      </c>
      <c r="E70" t="s">
        <v>289</v>
      </c>
      <c r="F70" t="s">
        <v>6</v>
      </c>
      <c r="G70" s="4" t="s">
        <v>290</v>
      </c>
      <c r="H70" s="4" t="s">
        <v>291</v>
      </c>
      <c r="I70" s="4" t="s">
        <v>256</v>
      </c>
      <c r="J70" s="5">
        <v>0.2</v>
      </c>
      <c r="K70" s="6">
        <v>46309.708333333336</v>
      </c>
      <c r="L70" s="6">
        <v>46323.708333333336</v>
      </c>
      <c r="M70" s="4" t="s">
        <v>292</v>
      </c>
      <c r="N70" s="4" t="s">
        <v>284</v>
      </c>
      <c r="O70" s="4" t="s">
        <v>74</v>
      </c>
    </row>
    <row r="71" spans="1:15" ht="28">
      <c r="A71" t="s">
        <v>27</v>
      </c>
      <c r="B71" t="s">
        <v>253</v>
      </c>
      <c r="C71" t="s">
        <v>30</v>
      </c>
      <c r="D71" t="s">
        <v>31</v>
      </c>
      <c r="E71" t="s">
        <v>293</v>
      </c>
      <c r="F71" t="s">
        <v>6</v>
      </c>
      <c r="G71" s="4" t="s">
        <v>294</v>
      </c>
      <c r="H71" s="4" t="s">
        <v>262</v>
      </c>
      <c r="I71" s="4" t="s">
        <v>295</v>
      </c>
      <c r="J71" s="5">
        <v>0.15</v>
      </c>
      <c r="K71" s="6">
        <v>46312.708333333336</v>
      </c>
      <c r="L71" s="6">
        <v>46327.708333333336</v>
      </c>
      <c r="M71" s="4" t="s">
        <v>296</v>
      </c>
      <c r="N71" s="4" t="s">
        <v>284</v>
      </c>
      <c r="O71" s="4" t="s">
        <v>74</v>
      </c>
    </row>
    <row r="72" spans="1:15" ht="28">
      <c r="A72" t="s">
        <v>27</v>
      </c>
      <c r="B72" t="s">
        <v>253</v>
      </c>
      <c r="C72" t="s">
        <v>30</v>
      </c>
      <c r="D72" t="s">
        <v>31</v>
      </c>
      <c r="E72" t="s">
        <v>297</v>
      </c>
      <c r="F72" t="s">
        <v>6</v>
      </c>
      <c r="G72" s="4" t="s">
        <v>298</v>
      </c>
      <c r="H72" s="4" t="s">
        <v>287</v>
      </c>
      <c r="I72" s="4" t="s">
        <v>262</v>
      </c>
      <c r="J72" s="5">
        <v>0.1</v>
      </c>
      <c r="K72" s="6">
        <v>46317.708333333336</v>
      </c>
      <c r="L72" s="6">
        <v>46331.708333333336</v>
      </c>
      <c r="M72" s="4" t="s">
        <v>299</v>
      </c>
      <c r="N72" s="4" t="s">
        <v>284</v>
      </c>
      <c r="O72" s="4" t="s">
        <v>74</v>
      </c>
    </row>
    <row r="73" spans="1:15" ht="28">
      <c r="A73" t="s">
        <v>27</v>
      </c>
      <c r="B73" t="s">
        <v>253</v>
      </c>
      <c r="C73" t="s">
        <v>30</v>
      </c>
      <c r="D73" t="s">
        <v>31</v>
      </c>
      <c r="E73" t="s">
        <v>300</v>
      </c>
      <c r="F73" t="s">
        <v>6</v>
      </c>
      <c r="G73" s="4" t="s">
        <v>301</v>
      </c>
      <c r="H73" s="4" t="s">
        <v>262</v>
      </c>
      <c r="I73" s="4" t="s">
        <v>287</v>
      </c>
      <c r="J73" s="5">
        <v>0.1</v>
      </c>
      <c r="K73" s="6">
        <v>46323.708333333336</v>
      </c>
      <c r="L73" s="6">
        <v>46335.708333333336</v>
      </c>
      <c r="M73" s="4" t="s">
        <v>302</v>
      </c>
      <c r="N73" s="4" t="s">
        <v>284</v>
      </c>
      <c r="O73" s="4" t="s">
        <v>74</v>
      </c>
    </row>
    <row r="74" spans="1:15" ht="28">
      <c r="A74" t="s">
        <v>27</v>
      </c>
      <c r="B74" t="s">
        <v>253</v>
      </c>
      <c r="C74" t="s">
        <v>30</v>
      </c>
      <c r="D74" t="s">
        <v>31</v>
      </c>
      <c r="E74" t="s">
        <v>303</v>
      </c>
      <c r="F74" t="s">
        <v>7</v>
      </c>
      <c r="G74" s="4" t="s">
        <v>98</v>
      </c>
      <c r="H74" s="4" t="s">
        <v>99</v>
      </c>
      <c r="I74" s="4" t="s">
        <v>100</v>
      </c>
      <c r="J74" s="5">
        <v>0.1</v>
      </c>
      <c r="K74" s="6">
        <v>46336.708333333336</v>
      </c>
      <c r="L74" s="6">
        <v>46336.708333333336</v>
      </c>
      <c r="M74" s="4" t="s">
        <v>101</v>
      </c>
      <c r="N74" s="4" t="s">
        <v>102</v>
      </c>
      <c r="O74" s="4" t="s">
        <v>74</v>
      </c>
    </row>
    <row r="75" spans="1:15" ht="28">
      <c r="A75" t="s">
        <v>27</v>
      </c>
      <c r="B75" t="s">
        <v>253</v>
      </c>
      <c r="C75" t="s">
        <v>30</v>
      </c>
      <c r="D75" t="s">
        <v>31</v>
      </c>
      <c r="E75" t="s">
        <v>304</v>
      </c>
      <c r="F75" t="s">
        <v>104</v>
      </c>
      <c r="G75" s="4" t="s">
        <v>105</v>
      </c>
      <c r="H75" s="4" t="s">
        <v>106</v>
      </c>
      <c r="I75" s="4" t="s">
        <v>107</v>
      </c>
      <c r="J75" s="5">
        <v>0.05</v>
      </c>
      <c r="K75" s="6">
        <v>46337.708333333336</v>
      </c>
      <c r="L75" s="6">
        <v>46338.708333333336</v>
      </c>
      <c r="M75" s="4" t="s">
        <v>108</v>
      </c>
      <c r="N75" s="4" t="s">
        <v>109</v>
      </c>
      <c r="O75" s="4" t="s">
        <v>110</v>
      </c>
    </row>
    <row r="76" spans="1:15" ht="28">
      <c r="A76" t="s">
        <v>27</v>
      </c>
      <c r="B76" t="s">
        <v>253</v>
      </c>
      <c r="C76" t="s">
        <v>32</v>
      </c>
      <c r="D76" t="s">
        <v>33</v>
      </c>
      <c r="E76" t="s">
        <v>305</v>
      </c>
      <c r="F76" t="s">
        <v>6</v>
      </c>
      <c r="G76" s="4" t="s">
        <v>306</v>
      </c>
      <c r="H76" s="4" t="s">
        <v>307</v>
      </c>
      <c r="I76" s="4" t="s">
        <v>269</v>
      </c>
      <c r="J76" s="5">
        <v>0.1</v>
      </c>
      <c r="K76" s="6">
        <v>46320.708333333336</v>
      </c>
      <c r="L76" s="6">
        <v>46327.708333333336</v>
      </c>
      <c r="M76" s="4" t="s">
        <v>308</v>
      </c>
      <c r="N76" s="4" t="s">
        <v>309</v>
      </c>
      <c r="O76" s="4" t="s">
        <v>74</v>
      </c>
    </row>
    <row r="77" spans="1:15" ht="28">
      <c r="A77" t="s">
        <v>27</v>
      </c>
      <c r="B77" t="s">
        <v>253</v>
      </c>
      <c r="C77" t="s">
        <v>32</v>
      </c>
      <c r="D77" t="s">
        <v>33</v>
      </c>
      <c r="E77" t="s">
        <v>310</v>
      </c>
      <c r="F77" t="s">
        <v>6</v>
      </c>
      <c r="G77" s="4" t="s">
        <v>311</v>
      </c>
      <c r="H77" s="4" t="s">
        <v>287</v>
      </c>
      <c r="I77" s="4" t="s">
        <v>256</v>
      </c>
      <c r="J77" s="5">
        <v>0.15</v>
      </c>
      <c r="K77" s="6">
        <v>46321.708333333336</v>
      </c>
      <c r="L77" s="6">
        <v>46330.708333333336</v>
      </c>
      <c r="M77" s="4" t="s">
        <v>312</v>
      </c>
      <c r="N77" s="4" t="s">
        <v>309</v>
      </c>
      <c r="O77" s="4" t="s">
        <v>74</v>
      </c>
    </row>
    <row r="78" spans="1:15" ht="28">
      <c r="A78" t="s">
        <v>27</v>
      </c>
      <c r="B78" t="s">
        <v>253</v>
      </c>
      <c r="C78" t="s">
        <v>32</v>
      </c>
      <c r="D78" t="s">
        <v>33</v>
      </c>
      <c r="E78" t="s">
        <v>313</v>
      </c>
      <c r="F78" t="s">
        <v>6</v>
      </c>
      <c r="G78" s="4" t="s">
        <v>314</v>
      </c>
      <c r="H78" s="4" t="s">
        <v>262</v>
      </c>
      <c r="I78" s="4" t="s">
        <v>287</v>
      </c>
      <c r="J78" s="5">
        <v>0.2</v>
      </c>
      <c r="K78" s="6">
        <v>46323.708333333336</v>
      </c>
      <c r="L78" s="6">
        <v>46333.708333333336</v>
      </c>
      <c r="M78" s="4" t="s">
        <v>315</v>
      </c>
      <c r="N78" s="4" t="s">
        <v>309</v>
      </c>
      <c r="O78" s="4" t="s">
        <v>74</v>
      </c>
    </row>
    <row r="79" spans="1:15" ht="28">
      <c r="A79" t="s">
        <v>27</v>
      </c>
      <c r="B79" t="s">
        <v>253</v>
      </c>
      <c r="C79" t="s">
        <v>32</v>
      </c>
      <c r="D79" t="s">
        <v>33</v>
      </c>
      <c r="E79" t="s">
        <v>316</v>
      </c>
      <c r="F79" t="s">
        <v>6</v>
      </c>
      <c r="G79" s="4" t="s">
        <v>317</v>
      </c>
      <c r="H79" s="4" t="s">
        <v>273</v>
      </c>
      <c r="I79" s="4" t="s">
        <v>256</v>
      </c>
      <c r="J79" s="5">
        <v>0.2</v>
      </c>
      <c r="K79" s="6">
        <v>46325.708333333336</v>
      </c>
      <c r="L79" s="6">
        <v>46336.708333333336</v>
      </c>
      <c r="M79" s="4" t="s">
        <v>318</v>
      </c>
      <c r="N79" s="4" t="s">
        <v>309</v>
      </c>
      <c r="O79" s="4" t="s">
        <v>74</v>
      </c>
    </row>
    <row r="80" spans="1:15" ht="28">
      <c r="A80" t="s">
        <v>27</v>
      </c>
      <c r="B80" t="s">
        <v>253</v>
      </c>
      <c r="C80" t="s">
        <v>32</v>
      </c>
      <c r="D80" t="s">
        <v>33</v>
      </c>
      <c r="E80" t="s">
        <v>319</v>
      </c>
      <c r="F80" t="s">
        <v>6</v>
      </c>
      <c r="G80" s="4" t="s">
        <v>320</v>
      </c>
      <c r="H80" s="4" t="s">
        <v>256</v>
      </c>
      <c r="I80" s="4" t="s">
        <v>321</v>
      </c>
      <c r="J80" s="5">
        <v>0.1</v>
      </c>
      <c r="K80" s="6">
        <v>46328.708333333336</v>
      </c>
      <c r="L80" s="6">
        <v>46339.708333333336</v>
      </c>
      <c r="M80" s="4" t="s">
        <v>322</v>
      </c>
      <c r="N80" s="4" t="s">
        <v>309</v>
      </c>
      <c r="O80" s="4" t="s">
        <v>74</v>
      </c>
    </row>
    <row r="81" spans="1:15" ht="28">
      <c r="A81" t="s">
        <v>27</v>
      </c>
      <c r="B81" t="s">
        <v>253</v>
      </c>
      <c r="C81" t="s">
        <v>32</v>
      </c>
      <c r="D81" t="s">
        <v>33</v>
      </c>
      <c r="E81" t="s">
        <v>323</v>
      </c>
      <c r="F81" t="s">
        <v>6</v>
      </c>
      <c r="G81" s="4" t="s">
        <v>324</v>
      </c>
      <c r="H81" s="4" t="s">
        <v>262</v>
      </c>
      <c r="I81" s="4" t="s">
        <v>287</v>
      </c>
      <c r="J81" s="5">
        <v>0.1</v>
      </c>
      <c r="K81" s="6">
        <v>46333.708333333336</v>
      </c>
      <c r="L81" s="6">
        <v>46342.708333333336</v>
      </c>
      <c r="M81" s="4" t="s">
        <v>325</v>
      </c>
      <c r="N81" s="4" t="s">
        <v>309</v>
      </c>
      <c r="O81" s="4" t="s">
        <v>74</v>
      </c>
    </row>
    <row r="82" spans="1:15" ht="28">
      <c r="A82" t="s">
        <v>27</v>
      </c>
      <c r="B82" t="s">
        <v>253</v>
      </c>
      <c r="C82" t="s">
        <v>32</v>
      </c>
      <c r="D82" t="s">
        <v>33</v>
      </c>
      <c r="E82" t="s">
        <v>326</v>
      </c>
      <c r="F82" t="s">
        <v>7</v>
      </c>
      <c r="G82" s="4" t="s">
        <v>98</v>
      </c>
      <c r="H82" s="4" t="s">
        <v>99</v>
      </c>
      <c r="I82" s="4" t="s">
        <v>100</v>
      </c>
      <c r="J82" s="5">
        <v>0.1</v>
      </c>
      <c r="K82" s="6">
        <v>46343.708333333336</v>
      </c>
      <c r="L82" s="6">
        <v>46343.708333333336</v>
      </c>
      <c r="M82" s="4" t="s">
        <v>101</v>
      </c>
      <c r="N82" s="4" t="s">
        <v>102</v>
      </c>
      <c r="O82" s="4" t="s">
        <v>74</v>
      </c>
    </row>
    <row r="83" spans="1:15" ht="28">
      <c r="A83" t="s">
        <v>27</v>
      </c>
      <c r="B83" t="s">
        <v>253</v>
      </c>
      <c r="C83" t="s">
        <v>32</v>
      </c>
      <c r="D83" t="s">
        <v>33</v>
      </c>
      <c r="E83" t="s">
        <v>327</v>
      </c>
      <c r="F83" t="s">
        <v>104</v>
      </c>
      <c r="G83" s="4" t="s">
        <v>105</v>
      </c>
      <c r="H83" s="4" t="s">
        <v>106</v>
      </c>
      <c r="I83" s="4" t="s">
        <v>107</v>
      </c>
      <c r="J83" s="5">
        <v>0.05</v>
      </c>
      <c r="K83" s="6">
        <v>46344.708333333336</v>
      </c>
      <c r="L83" s="6">
        <v>46345.708333333336</v>
      </c>
      <c r="M83" s="4" t="s">
        <v>108</v>
      </c>
      <c r="N83" s="4" t="s">
        <v>109</v>
      </c>
      <c r="O83" s="4" t="s">
        <v>110</v>
      </c>
    </row>
    <row r="84" spans="1:15" ht="42">
      <c r="A84" t="s">
        <v>34</v>
      </c>
      <c r="B84" t="s">
        <v>328</v>
      </c>
      <c r="C84" t="s">
        <v>35</v>
      </c>
      <c r="D84" t="s">
        <v>36</v>
      </c>
      <c r="E84" t="s">
        <v>329</v>
      </c>
      <c r="F84" t="s">
        <v>6</v>
      </c>
      <c r="G84" s="4" t="s">
        <v>330</v>
      </c>
      <c r="H84" s="4" t="s">
        <v>158</v>
      </c>
      <c r="I84" s="4" t="s">
        <v>198</v>
      </c>
      <c r="J84" s="5">
        <v>0.1</v>
      </c>
      <c r="K84" s="6">
        <v>46313.708333333336</v>
      </c>
      <c r="L84" s="6">
        <v>46320.708333333336</v>
      </c>
      <c r="M84" s="4" t="s">
        <v>331</v>
      </c>
      <c r="N84" s="4" t="s">
        <v>332</v>
      </c>
      <c r="O84" s="4" t="s">
        <v>74</v>
      </c>
    </row>
    <row r="85" spans="1:15" ht="42">
      <c r="A85" t="s">
        <v>34</v>
      </c>
      <c r="B85" t="s">
        <v>328</v>
      </c>
      <c r="C85" t="s">
        <v>35</v>
      </c>
      <c r="D85" t="s">
        <v>36</v>
      </c>
      <c r="E85" t="s">
        <v>333</v>
      </c>
      <c r="F85" t="s">
        <v>6</v>
      </c>
      <c r="G85" s="4" t="s">
        <v>334</v>
      </c>
      <c r="H85" s="4" t="s">
        <v>87</v>
      </c>
      <c r="I85" s="4" t="s">
        <v>71</v>
      </c>
      <c r="J85" s="5">
        <v>0.15</v>
      </c>
      <c r="K85" s="6">
        <v>46314.708333333336</v>
      </c>
      <c r="L85" s="6">
        <v>46323.708333333336</v>
      </c>
      <c r="M85" s="4" t="s">
        <v>335</v>
      </c>
      <c r="N85" s="4" t="s">
        <v>332</v>
      </c>
      <c r="O85" s="4" t="s">
        <v>74</v>
      </c>
    </row>
    <row r="86" spans="1:15" ht="42">
      <c r="A86" t="s">
        <v>34</v>
      </c>
      <c r="B86" t="s">
        <v>328</v>
      </c>
      <c r="C86" t="s">
        <v>35</v>
      </c>
      <c r="D86" t="s">
        <v>36</v>
      </c>
      <c r="E86" t="s">
        <v>336</v>
      </c>
      <c r="F86" t="s">
        <v>6</v>
      </c>
      <c r="G86" s="4" t="s">
        <v>337</v>
      </c>
      <c r="H86" s="4" t="s">
        <v>184</v>
      </c>
      <c r="I86" s="4" t="s">
        <v>338</v>
      </c>
      <c r="J86" s="5">
        <v>0.15</v>
      </c>
      <c r="K86" s="6">
        <v>46316.708333333336</v>
      </c>
      <c r="L86" s="6">
        <v>46326.708333333336</v>
      </c>
      <c r="M86" s="4" t="s">
        <v>339</v>
      </c>
      <c r="N86" s="4" t="s">
        <v>332</v>
      </c>
      <c r="O86" s="4" t="s">
        <v>74</v>
      </c>
    </row>
    <row r="87" spans="1:15" ht="42">
      <c r="A87" t="s">
        <v>34</v>
      </c>
      <c r="B87" t="s">
        <v>328</v>
      </c>
      <c r="C87" t="s">
        <v>35</v>
      </c>
      <c r="D87" t="s">
        <v>36</v>
      </c>
      <c r="E87" t="s">
        <v>340</v>
      </c>
      <c r="F87" t="s">
        <v>6</v>
      </c>
      <c r="G87" s="4" t="s">
        <v>341</v>
      </c>
      <c r="H87" s="4" t="s">
        <v>198</v>
      </c>
      <c r="I87" s="4" t="s">
        <v>158</v>
      </c>
      <c r="J87" s="5">
        <v>0.15</v>
      </c>
      <c r="K87" s="6">
        <v>46318.708333333336</v>
      </c>
      <c r="L87" s="6">
        <v>46329.708333333336</v>
      </c>
      <c r="M87" s="4" t="s">
        <v>342</v>
      </c>
      <c r="N87" s="4" t="s">
        <v>332</v>
      </c>
      <c r="O87" s="4" t="s">
        <v>74</v>
      </c>
    </row>
    <row r="88" spans="1:15" ht="42">
      <c r="A88" t="s">
        <v>34</v>
      </c>
      <c r="B88" t="s">
        <v>328</v>
      </c>
      <c r="C88" t="s">
        <v>35</v>
      </c>
      <c r="D88" t="s">
        <v>36</v>
      </c>
      <c r="E88" t="s">
        <v>343</v>
      </c>
      <c r="F88" t="s">
        <v>6</v>
      </c>
      <c r="G88" s="4" t="s">
        <v>344</v>
      </c>
      <c r="H88" s="4" t="s">
        <v>345</v>
      </c>
      <c r="I88" s="4" t="s">
        <v>87</v>
      </c>
      <c r="J88" s="5">
        <v>0.15</v>
      </c>
      <c r="K88" s="6">
        <v>46321.708333333336</v>
      </c>
      <c r="L88" s="6">
        <v>46332.708333333336</v>
      </c>
      <c r="M88" s="4" t="s">
        <v>346</v>
      </c>
      <c r="N88" s="4" t="s">
        <v>332</v>
      </c>
      <c r="O88" s="4" t="s">
        <v>74</v>
      </c>
    </row>
    <row r="89" spans="1:15" ht="42">
      <c r="A89" t="s">
        <v>34</v>
      </c>
      <c r="B89" t="s">
        <v>328</v>
      </c>
      <c r="C89" t="s">
        <v>35</v>
      </c>
      <c r="D89" t="s">
        <v>36</v>
      </c>
      <c r="E89" t="s">
        <v>347</v>
      </c>
      <c r="F89" t="s">
        <v>6</v>
      </c>
      <c r="G89" s="4" t="s">
        <v>348</v>
      </c>
      <c r="H89" s="4" t="s">
        <v>78</v>
      </c>
      <c r="I89" s="4" t="s">
        <v>71</v>
      </c>
      <c r="J89" s="5">
        <v>0.15</v>
      </c>
      <c r="K89" s="6">
        <v>46326.708333333336</v>
      </c>
      <c r="L89" s="6">
        <v>46335.708333333336</v>
      </c>
      <c r="M89" s="4" t="s">
        <v>349</v>
      </c>
      <c r="N89" s="4" t="s">
        <v>332</v>
      </c>
      <c r="O89" s="4" t="s">
        <v>74</v>
      </c>
    </row>
    <row r="90" spans="1:15" ht="28">
      <c r="A90" t="s">
        <v>34</v>
      </c>
      <c r="B90" t="s">
        <v>328</v>
      </c>
      <c r="C90" t="s">
        <v>35</v>
      </c>
      <c r="D90" t="s">
        <v>36</v>
      </c>
      <c r="E90" t="s">
        <v>350</v>
      </c>
      <c r="F90" t="s">
        <v>7</v>
      </c>
      <c r="G90" s="4" t="s">
        <v>98</v>
      </c>
      <c r="H90" s="4" t="s">
        <v>99</v>
      </c>
      <c r="I90" s="4" t="s">
        <v>100</v>
      </c>
      <c r="J90" s="5">
        <v>0.1</v>
      </c>
      <c r="K90" s="6">
        <v>46336.708333333336</v>
      </c>
      <c r="L90" s="6">
        <v>46336.708333333336</v>
      </c>
      <c r="M90" s="4" t="s">
        <v>101</v>
      </c>
      <c r="N90" s="4" t="s">
        <v>102</v>
      </c>
      <c r="O90" s="4" t="s">
        <v>74</v>
      </c>
    </row>
    <row r="91" spans="1:15" ht="28">
      <c r="A91" t="s">
        <v>34</v>
      </c>
      <c r="B91" t="s">
        <v>328</v>
      </c>
      <c r="C91" t="s">
        <v>35</v>
      </c>
      <c r="D91" t="s">
        <v>36</v>
      </c>
      <c r="E91" t="s">
        <v>351</v>
      </c>
      <c r="F91" t="s">
        <v>104</v>
      </c>
      <c r="G91" s="4" t="s">
        <v>105</v>
      </c>
      <c r="H91" s="4" t="s">
        <v>106</v>
      </c>
      <c r="I91" s="4" t="s">
        <v>107</v>
      </c>
      <c r="J91" s="5">
        <v>0.05</v>
      </c>
      <c r="K91" s="6">
        <v>46337.708333333336</v>
      </c>
      <c r="L91" s="6">
        <v>46338.708333333336</v>
      </c>
      <c r="M91" s="4" t="s">
        <v>108</v>
      </c>
      <c r="N91" s="4" t="s">
        <v>109</v>
      </c>
      <c r="O91" s="4" t="s">
        <v>110</v>
      </c>
    </row>
    <row r="92" spans="1:15" ht="28">
      <c r="A92" t="s">
        <v>34</v>
      </c>
      <c r="B92" t="s">
        <v>328</v>
      </c>
      <c r="C92" t="s">
        <v>37</v>
      </c>
      <c r="D92" t="s">
        <v>38</v>
      </c>
      <c r="E92" t="s">
        <v>352</v>
      </c>
      <c r="F92" t="s">
        <v>6</v>
      </c>
      <c r="G92" s="4" t="s">
        <v>353</v>
      </c>
      <c r="H92" s="4" t="s">
        <v>158</v>
      </c>
      <c r="I92" s="4" t="s">
        <v>198</v>
      </c>
      <c r="J92" s="5">
        <v>0.1</v>
      </c>
      <c r="K92" s="6">
        <v>46320.708333333336</v>
      </c>
      <c r="L92" s="6">
        <v>46327.708333333336</v>
      </c>
      <c r="M92" s="4" t="s">
        <v>354</v>
      </c>
      <c r="N92" s="4" t="s">
        <v>355</v>
      </c>
      <c r="O92" s="4" t="s">
        <v>74</v>
      </c>
    </row>
    <row r="93" spans="1:15" ht="28">
      <c r="A93" t="s">
        <v>34</v>
      </c>
      <c r="B93" t="s">
        <v>328</v>
      </c>
      <c r="C93" t="s">
        <v>37</v>
      </c>
      <c r="D93" t="s">
        <v>38</v>
      </c>
      <c r="E93" t="s">
        <v>356</v>
      </c>
      <c r="F93" t="s">
        <v>6</v>
      </c>
      <c r="G93" s="4" t="s">
        <v>357</v>
      </c>
      <c r="H93" s="4" t="s">
        <v>78</v>
      </c>
      <c r="I93" s="4" t="s">
        <v>184</v>
      </c>
      <c r="J93" s="5">
        <v>0.15</v>
      </c>
      <c r="K93" s="6">
        <v>46321.708333333336</v>
      </c>
      <c r="L93" s="6">
        <v>46330.708333333336</v>
      </c>
      <c r="M93" s="4" t="s">
        <v>358</v>
      </c>
      <c r="N93" s="4" t="s">
        <v>355</v>
      </c>
      <c r="O93" s="4" t="s">
        <v>74</v>
      </c>
    </row>
    <row r="94" spans="1:15" ht="28">
      <c r="A94" t="s">
        <v>34</v>
      </c>
      <c r="B94" t="s">
        <v>328</v>
      </c>
      <c r="C94" t="s">
        <v>37</v>
      </c>
      <c r="D94" t="s">
        <v>38</v>
      </c>
      <c r="E94" t="s">
        <v>359</v>
      </c>
      <c r="F94" t="s">
        <v>6</v>
      </c>
      <c r="G94" s="4" t="s">
        <v>360</v>
      </c>
      <c r="H94" s="4" t="s">
        <v>198</v>
      </c>
      <c r="I94" s="4" t="s">
        <v>158</v>
      </c>
      <c r="J94" s="5">
        <v>0.2</v>
      </c>
      <c r="K94" s="6">
        <v>46323.708333333336</v>
      </c>
      <c r="L94" s="6">
        <v>46333.708333333336</v>
      </c>
      <c r="M94" s="4" t="s">
        <v>361</v>
      </c>
      <c r="N94" s="4" t="s">
        <v>355</v>
      </c>
      <c r="O94" s="4" t="s">
        <v>74</v>
      </c>
    </row>
    <row r="95" spans="1:15" ht="28">
      <c r="A95" t="s">
        <v>34</v>
      </c>
      <c r="B95" t="s">
        <v>328</v>
      </c>
      <c r="C95" t="s">
        <v>37</v>
      </c>
      <c r="D95" t="s">
        <v>38</v>
      </c>
      <c r="E95" t="s">
        <v>362</v>
      </c>
      <c r="F95" t="s">
        <v>6</v>
      </c>
      <c r="G95" s="4" t="s">
        <v>363</v>
      </c>
      <c r="H95" s="4" t="s">
        <v>158</v>
      </c>
      <c r="I95" s="4" t="s">
        <v>87</v>
      </c>
      <c r="J95" s="5">
        <v>0.15</v>
      </c>
      <c r="K95" s="6">
        <v>46325.708333333336</v>
      </c>
      <c r="L95" s="6">
        <v>46336.708333333336</v>
      </c>
      <c r="M95" s="4" t="s">
        <v>246</v>
      </c>
      <c r="N95" s="4" t="s">
        <v>355</v>
      </c>
      <c r="O95" s="4" t="s">
        <v>74</v>
      </c>
    </row>
    <row r="96" spans="1:15" ht="28">
      <c r="A96" t="s">
        <v>34</v>
      </c>
      <c r="B96" t="s">
        <v>328</v>
      </c>
      <c r="C96" t="s">
        <v>37</v>
      </c>
      <c r="D96" t="s">
        <v>38</v>
      </c>
      <c r="E96" t="s">
        <v>364</v>
      </c>
      <c r="F96" t="s">
        <v>6</v>
      </c>
      <c r="G96" s="4" t="s">
        <v>365</v>
      </c>
      <c r="H96" s="4" t="s">
        <v>198</v>
      </c>
      <c r="I96" s="4" t="s">
        <v>71</v>
      </c>
      <c r="J96" s="5">
        <v>0.1</v>
      </c>
      <c r="K96" s="6">
        <v>46328.708333333336</v>
      </c>
      <c r="L96" s="6">
        <v>46339.708333333336</v>
      </c>
      <c r="M96" s="4" t="s">
        <v>366</v>
      </c>
      <c r="N96" s="4" t="s">
        <v>355</v>
      </c>
      <c r="O96" s="4" t="s">
        <v>74</v>
      </c>
    </row>
    <row r="97" spans="1:15" ht="28">
      <c r="A97" t="s">
        <v>34</v>
      </c>
      <c r="B97" t="s">
        <v>328</v>
      </c>
      <c r="C97" t="s">
        <v>37</v>
      </c>
      <c r="D97" t="s">
        <v>38</v>
      </c>
      <c r="E97" t="s">
        <v>367</v>
      </c>
      <c r="F97" t="s">
        <v>6</v>
      </c>
      <c r="G97" s="4" t="s">
        <v>368</v>
      </c>
      <c r="H97" s="4" t="s">
        <v>198</v>
      </c>
      <c r="I97" s="4" t="s">
        <v>369</v>
      </c>
      <c r="J97" s="5">
        <v>0.15</v>
      </c>
      <c r="K97" s="6">
        <v>46333.708333333336</v>
      </c>
      <c r="L97" s="6">
        <v>46342.708333333336</v>
      </c>
      <c r="M97" s="4" t="s">
        <v>370</v>
      </c>
      <c r="N97" s="4" t="s">
        <v>355</v>
      </c>
      <c r="O97" s="4" t="s">
        <v>74</v>
      </c>
    </row>
    <row r="98" spans="1:15" ht="28">
      <c r="A98" t="s">
        <v>34</v>
      </c>
      <c r="B98" t="s">
        <v>328</v>
      </c>
      <c r="C98" t="s">
        <v>37</v>
      </c>
      <c r="D98" t="s">
        <v>38</v>
      </c>
      <c r="E98" t="s">
        <v>371</v>
      </c>
      <c r="F98" t="s">
        <v>7</v>
      </c>
      <c r="G98" s="4" t="s">
        <v>98</v>
      </c>
      <c r="H98" s="4" t="s">
        <v>99</v>
      </c>
      <c r="I98" s="4" t="s">
        <v>100</v>
      </c>
      <c r="J98" s="5">
        <v>0.1</v>
      </c>
      <c r="K98" s="6">
        <v>46343.708333333336</v>
      </c>
      <c r="L98" s="6">
        <v>46343.708333333336</v>
      </c>
      <c r="M98" s="4" t="s">
        <v>101</v>
      </c>
      <c r="N98" s="4" t="s">
        <v>102</v>
      </c>
      <c r="O98" s="4" t="s">
        <v>74</v>
      </c>
    </row>
    <row r="99" spans="1:15" ht="28">
      <c r="A99" t="s">
        <v>34</v>
      </c>
      <c r="B99" t="s">
        <v>328</v>
      </c>
      <c r="C99" t="s">
        <v>37</v>
      </c>
      <c r="D99" t="s">
        <v>38</v>
      </c>
      <c r="E99" t="s">
        <v>372</v>
      </c>
      <c r="F99" t="s">
        <v>104</v>
      </c>
      <c r="G99" s="4" t="s">
        <v>105</v>
      </c>
      <c r="H99" s="4" t="s">
        <v>106</v>
      </c>
      <c r="I99" s="4" t="s">
        <v>107</v>
      </c>
      <c r="J99" s="5">
        <v>0.05</v>
      </c>
      <c r="K99" s="6">
        <v>46344.708333333336</v>
      </c>
      <c r="L99" s="6">
        <v>46345.708333333336</v>
      </c>
      <c r="M99" s="4" t="s">
        <v>108</v>
      </c>
      <c r="N99" s="4" t="s">
        <v>109</v>
      </c>
      <c r="O99" s="4" t="s">
        <v>110</v>
      </c>
    </row>
    <row r="100" spans="1:15" ht="28">
      <c r="A100" t="s">
        <v>34</v>
      </c>
      <c r="B100" t="s">
        <v>328</v>
      </c>
      <c r="C100" t="s">
        <v>39</v>
      </c>
      <c r="D100" t="s">
        <v>40</v>
      </c>
      <c r="E100" t="s">
        <v>373</v>
      </c>
      <c r="F100" t="s">
        <v>6</v>
      </c>
      <c r="G100" s="4" t="s">
        <v>374</v>
      </c>
      <c r="H100" s="4" t="s">
        <v>198</v>
      </c>
      <c r="I100" s="4" t="s">
        <v>71</v>
      </c>
      <c r="J100" s="5">
        <v>0.1</v>
      </c>
      <c r="K100" s="6">
        <v>46327.708333333336</v>
      </c>
      <c r="L100" s="6">
        <v>46334.708333333336</v>
      </c>
      <c r="M100" s="4" t="s">
        <v>375</v>
      </c>
      <c r="N100" s="4" t="s">
        <v>376</v>
      </c>
      <c r="O100" s="4" t="s">
        <v>74</v>
      </c>
    </row>
    <row r="101" spans="1:15" ht="28">
      <c r="A101" t="s">
        <v>34</v>
      </c>
      <c r="B101" t="s">
        <v>328</v>
      </c>
      <c r="C101" t="s">
        <v>39</v>
      </c>
      <c r="D101" t="s">
        <v>40</v>
      </c>
      <c r="E101" t="s">
        <v>377</v>
      </c>
      <c r="F101" t="s">
        <v>6</v>
      </c>
      <c r="G101" s="4" t="s">
        <v>378</v>
      </c>
      <c r="H101" s="4" t="s">
        <v>198</v>
      </c>
      <c r="I101" s="4" t="s">
        <v>158</v>
      </c>
      <c r="J101" s="5">
        <v>0.15</v>
      </c>
      <c r="K101" s="6">
        <v>46328.708333333336</v>
      </c>
      <c r="L101" s="6">
        <v>46337.708333333336</v>
      </c>
      <c r="M101" s="4" t="s">
        <v>379</v>
      </c>
      <c r="N101" s="4" t="s">
        <v>376</v>
      </c>
      <c r="O101" s="4" t="s">
        <v>74</v>
      </c>
    </row>
    <row r="102" spans="1:15" ht="28">
      <c r="A102" t="s">
        <v>34</v>
      </c>
      <c r="B102" t="s">
        <v>328</v>
      </c>
      <c r="C102" t="s">
        <v>39</v>
      </c>
      <c r="D102" t="s">
        <v>40</v>
      </c>
      <c r="E102" t="s">
        <v>380</v>
      </c>
      <c r="F102" t="s">
        <v>6</v>
      </c>
      <c r="G102" s="4" t="s">
        <v>381</v>
      </c>
      <c r="H102" s="4" t="s">
        <v>198</v>
      </c>
      <c r="I102" s="4" t="s">
        <v>256</v>
      </c>
      <c r="J102" s="5">
        <v>0.15</v>
      </c>
      <c r="K102" s="6">
        <v>46330.708333333336</v>
      </c>
      <c r="L102" s="6">
        <v>46340.708333333336</v>
      </c>
      <c r="M102" s="4" t="s">
        <v>382</v>
      </c>
      <c r="N102" s="4" t="s">
        <v>376</v>
      </c>
      <c r="O102" s="4" t="s">
        <v>74</v>
      </c>
    </row>
    <row r="103" spans="1:15" ht="28">
      <c r="A103" t="s">
        <v>34</v>
      </c>
      <c r="B103" t="s">
        <v>328</v>
      </c>
      <c r="C103" t="s">
        <v>39</v>
      </c>
      <c r="D103" t="s">
        <v>40</v>
      </c>
      <c r="E103" t="s">
        <v>383</v>
      </c>
      <c r="F103" t="s">
        <v>6</v>
      </c>
      <c r="G103" s="4" t="s">
        <v>384</v>
      </c>
      <c r="H103" s="4" t="s">
        <v>245</v>
      </c>
      <c r="I103" s="4" t="s">
        <v>71</v>
      </c>
      <c r="J103" s="5">
        <v>0.15</v>
      </c>
      <c r="K103" s="6">
        <v>46332.708333333336</v>
      </c>
      <c r="L103" s="6">
        <v>46343.708333333336</v>
      </c>
      <c r="M103" s="4" t="s">
        <v>385</v>
      </c>
      <c r="N103" s="4" t="s">
        <v>376</v>
      </c>
      <c r="O103" s="4" t="s">
        <v>74</v>
      </c>
    </row>
    <row r="104" spans="1:15" ht="28">
      <c r="A104" t="s">
        <v>34</v>
      </c>
      <c r="B104" t="s">
        <v>328</v>
      </c>
      <c r="C104" t="s">
        <v>39</v>
      </c>
      <c r="D104" t="s">
        <v>40</v>
      </c>
      <c r="E104" t="s">
        <v>386</v>
      </c>
      <c r="F104" t="s">
        <v>6</v>
      </c>
      <c r="G104" s="4" t="s">
        <v>387</v>
      </c>
      <c r="H104" s="4" t="s">
        <v>157</v>
      </c>
      <c r="I104" s="4" t="s">
        <v>198</v>
      </c>
      <c r="J104" s="5">
        <v>0.15</v>
      </c>
      <c r="K104" s="6">
        <v>46335.708333333336</v>
      </c>
      <c r="L104" s="6">
        <v>46346.708333333336</v>
      </c>
      <c r="M104" s="4" t="s">
        <v>388</v>
      </c>
      <c r="N104" s="4" t="s">
        <v>376</v>
      </c>
      <c r="O104" s="4" t="s">
        <v>74</v>
      </c>
    </row>
    <row r="105" spans="1:15" ht="28">
      <c r="A105" t="s">
        <v>34</v>
      </c>
      <c r="B105" t="s">
        <v>328</v>
      </c>
      <c r="C105" t="s">
        <v>39</v>
      </c>
      <c r="D105" t="s">
        <v>40</v>
      </c>
      <c r="E105" t="s">
        <v>389</v>
      </c>
      <c r="F105" t="s">
        <v>6</v>
      </c>
      <c r="G105" s="4" t="s">
        <v>390</v>
      </c>
      <c r="H105" s="4" t="s">
        <v>198</v>
      </c>
      <c r="I105" s="4" t="s">
        <v>71</v>
      </c>
      <c r="J105" s="5">
        <v>0.15</v>
      </c>
      <c r="K105" s="6">
        <v>46340.708333333336</v>
      </c>
      <c r="L105" s="6">
        <v>46349.708333333336</v>
      </c>
      <c r="M105" s="4" t="s">
        <v>391</v>
      </c>
      <c r="N105" s="4" t="s">
        <v>376</v>
      </c>
      <c r="O105" s="4" t="s">
        <v>74</v>
      </c>
    </row>
    <row r="106" spans="1:15" ht="28">
      <c r="A106" t="s">
        <v>34</v>
      </c>
      <c r="B106" t="s">
        <v>328</v>
      </c>
      <c r="C106" t="s">
        <v>39</v>
      </c>
      <c r="D106" t="s">
        <v>40</v>
      </c>
      <c r="E106" t="s">
        <v>392</v>
      </c>
      <c r="F106" t="s">
        <v>7</v>
      </c>
      <c r="G106" s="4" t="s">
        <v>98</v>
      </c>
      <c r="H106" s="4" t="s">
        <v>99</v>
      </c>
      <c r="I106" s="4" t="s">
        <v>100</v>
      </c>
      <c r="J106" s="5">
        <v>0.1</v>
      </c>
      <c r="K106" s="6">
        <v>46350.708333333336</v>
      </c>
      <c r="L106" s="6">
        <v>46350.708333333336</v>
      </c>
      <c r="M106" s="4" t="s">
        <v>101</v>
      </c>
      <c r="N106" s="4" t="s">
        <v>102</v>
      </c>
      <c r="O106" s="4" t="s">
        <v>74</v>
      </c>
    </row>
    <row r="107" spans="1:15" ht="28">
      <c r="A107" t="s">
        <v>34</v>
      </c>
      <c r="B107" t="s">
        <v>328</v>
      </c>
      <c r="C107" t="s">
        <v>39</v>
      </c>
      <c r="D107" t="s">
        <v>40</v>
      </c>
      <c r="E107" t="s">
        <v>393</v>
      </c>
      <c r="F107" t="s">
        <v>104</v>
      </c>
      <c r="G107" s="4" t="s">
        <v>105</v>
      </c>
      <c r="H107" s="4" t="s">
        <v>106</v>
      </c>
      <c r="I107" s="4" t="s">
        <v>107</v>
      </c>
      <c r="J107" s="5">
        <v>0.05</v>
      </c>
      <c r="K107" s="6">
        <v>46351.708333333336</v>
      </c>
      <c r="L107" s="6">
        <v>46352.708333333336</v>
      </c>
      <c r="M107" s="4" t="s">
        <v>108</v>
      </c>
      <c r="N107" s="4" t="s">
        <v>109</v>
      </c>
      <c r="O107" s="4" t="s">
        <v>110</v>
      </c>
    </row>
    <row r="108" spans="1:15" ht="28">
      <c r="A108" t="s">
        <v>34</v>
      </c>
      <c r="B108" t="s">
        <v>328</v>
      </c>
      <c r="C108" t="s">
        <v>41</v>
      </c>
      <c r="D108" t="s">
        <v>42</v>
      </c>
      <c r="E108" t="s">
        <v>394</v>
      </c>
      <c r="F108" t="s">
        <v>6</v>
      </c>
      <c r="G108" s="4" t="s">
        <v>395</v>
      </c>
      <c r="H108" s="4" t="s">
        <v>256</v>
      </c>
      <c r="I108" s="4" t="s">
        <v>87</v>
      </c>
      <c r="J108" s="5">
        <v>0.15</v>
      </c>
      <c r="K108" s="6">
        <v>46313.708333333336</v>
      </c>
      <c r="L108" s="6">
        <v>46324.708333333336</v>
      </c>
      <c r="M108" s="4" t="s">
        <v>396</v>
      </c>
      <c r="N108" s="4" t="s">
        <v>397</v>
      </c>
      <c r="O108" s="4" t="s">
        <v>74</v>
      </c>
    </row>
    <row r="109" spans="1:15" ht="28">
      <c r="A109" t="s">
        <v>34</v>
      </c>
      <c r="B109" t="s">
        <v>328</v>
      </c>
      <c r="C109" t="s">
        <v>41</v>
      </c>
      <c r="D109" t="s">
        <v>42</v>
      </c>
      <c r="E109" t="s">
        <v>398</v>
      </c>
      <c r="F109" t="s">
        <v>6</v>
      </c>
      <c r="G109" s="4" t="s">
        <v>399</v>
      </c>
      <c r="H109" s="4" t="s">
        <v>400</v>
      </c>
      <c r="I109" s="4" t="s">
        <v>71</v>
      </c>
      <c r="J109" s="5">
        <v>0.15</v>
      </c>
      <c r="K109" s="6">
        <v>46315.708333333336</v>
      </c>
      <c r="L109" s="6">
        <v>46329.708333333336</v>
      </c>
      <c r="M109" s="4" t="s">
        <v>401</v>
      </c>
      <c r="N109" s="4" t="s">
        <v>397</v>
      </c>
      <c r="O109" s="4" t="s">
        <v>74</v>
      </c>
    </row>
    <row r="110" spans="1:15" ht="28">
      <c r="A110" t="s">
        <v>34</v>
      </c>
      <c r="B110" t="s">
        <v>328</v>
      </c>
      <c r="C110" t="s">
        <v>41</v>
      </c>
      <c r="D110" t="s">
        <v>42</v>
      </c>
      <c r="E110" t="s">
        <v>402</v>
      </c>
      <c r="F110" t="s">
        <v>6</v>
      </c>
      <c r="G110" s="4" t="s">
        <v>403</v>
      </c>
      <c r="H110" s="4" t="s">
        <v>291</v>
      </c>
      <c r="I110" s="4" t="s">
        <v>256</v>
      </c>
      <c r="J110" s="5">
        <v>0.15</v>
      </c>
      <c r="K110" s="6">
        <v>46317.708333333336</v>
      </c>
      <c r="L110" s="6">
        <v>46334.708333333336</v>
      </c>
      <c r="M110" s="4" t="s">
        <v>404</v>
      </c>
      <c r="N110" s="4" t="s">
        <v>397</v>
      </c>
      <c r="O110" s="4" t="s">
        <v>74</v>
      </c>
    </row>
    <row r="111" spans="1:15" ht="28">
      <c r="A111" t="s">
        <v>34</v>
      </c>
      <c r="B111" t="s">
        <v>328</v>
      </c>
      <c r="C111" t="s">
        <v>41</v>
      </c>
      <c r="D111" t="s">
        <v>42</v>
      </c>
      <c r="E111" t="s">
        <v>405</v>
      </c>
      <c r="F111" t="s">
        <v>6</v>
      </c>
      <c r="G111" s="4" t="s">
        <v>406</v>
      </c>
      <c r="H111" s="4" t="s">
        <v>287</v>
      </c>
      <c r="I111" s="4" t="s">
        <v>262</v>
      </c>
      <c r="J111" s="5">
        <v>0.15</v>
      </c>
      <c r="K111" s="6">
        <v>46321.708333333336</v>
      </c>
      <c r="L111" s="6">
        <v>46339.708333333336</v>
      </c>
      <c r="M111" s="4" t="s">
        <v>407</v>
      </c>
      <c r="N111" s="4" t="s">
        <v>397</v>
      </c>
      <c r="O111" s="4" t="s">
        <v>74</v>
      </c>
    </row>
    <row r="112" spans="1:15" ht="28">
      <c r="A112" t="s">
        <v>34</v>
      </c>
      <c r="B112" t="s">
        <v>328</v>
      </c>
      <c r="C112" t="s">
        <v>41</v>
      </c>
      <c r="D112" t="s">
        <v>42</v>
      </c>
      <c r="E112" t="s">
        <v>408</v>
      </c>
      <c r="F112" t="s">
        <v>6</v>
      </c>
      <c r="G112" s="4" t="s">
        <v>409</v>
      </c>
      <c r="H112" s="4" t="s">
        <v>87</v>
      </c>
      <c r="I112" s="4" t="s">
        <v>256</v>
      </c>
      <c r="J112" s="5">
        <v>0.1</v>
      </c>
      <c r="K112" s="6">
        <v>46327.708333333336</v>
      </c>
      <c r="L112" s="6">
        <v>46344.708333333336</v>
      </c>
      <c r="M112" s="4" t="s">
        <v>410</v>
      </c>
      <c r="N112" s="4" t="s">
        <v>397</v>
      </c>
      <c r="O112" s="4" t="s">
        <v>74</v>
      </c>
    </row>
    <row r="113" spans="1:15" ht="28">
      <c r="A113" t="s">
        <v>34</v>
      </c>
      <c r="B113" t="s">
        <v>328</v>
      </c>
      <c r="C113" t="s">
        <v>41</v>
      </c>
      <c r="D113" t="s">
        <v>42</v>
      </c>
      <c r="E113" t="s">
        <v>411</v>
      </c>
      <c r="F113" t="s">
        <v>6</v>
      </c>
      <c r="G113" s="4" t="s">
        <v>412</v>
      </c>
      <c r="H113" s="4" t="s">
        <v>71</v>
      </c>
      <c r="I113" s="4" t="s">
        <v>295</v>
      </c>
      <c r="J113" s="5">
        <v>0.15</v>
      </c>
      <c r="K113" s="6">
        <v>46334.708333333336</v>
      </c>
      <c r="L113" s="6">
        <v>46349.708333333336</v>
      </c>
      <c r="M113" s="4" t="s">
        <v>413</v>
      </c>
      <c r="N113" s="4" t="s">
        <v>397</v>
      </c>
      <c r="O113" s="4" t="s">
        <v>74</v>
      </c>
    </row>
    <row r="114" spans="1:15" ht="28">
      <c r="A114" t="s">
        <v>34</v>
      </c>
      <c r="B114" t="s">
        <v>328</v>
      </c>
      <c r="C114" t="s">
        <v>41</v>
      </c>
      <c r="D114" t="s">
        <v>42</v>
      </c>
      <c r="E114" t="s">
        <v>414</v>
      </c>
      <c r="F114" t="s">
        <v>7</v>
      </c>
      <c r="G114" s="4" t="s">
        <v>98</v>
      </c>
      <c r="H114" s="4" t="s">
        <v>99</v>
      </c>
      <c r="I114" s="4" t="s">
        <v>100</v>
      </c>
      <c r="J114" s="5">
        <v>0.1</v>
      </c>
      <c r="K114" s="6">
        <v>46350.708333333336</v>
      </c>
      <c r="L114" s="6">
        <v>46350.708333333336</v>
      </c>
      <c r="M114" s="4" t="s">
        <v>101</v>
      </c>
      <c r="N114" s="4" t="s">
        <v>102</v>
      </c>
      <c r="O114" s="4" t="s">
        <v>74</v>
      </c>
    </row>
    <row r="115" spans="1:15" ht="28">
      <c r="A115" t="s">
        <v>34</v>
      </c>
      <c r="B115" t="s">
        <v>328</v>
      </c>
      <c r="C115" t="s">
        <v>41</v>
      </c>
      <c r="D115" t="s">
        <v>42</v>
      </c>
      <c r="E115" t="s">
        <v>415</v>
      </c>
      <c r="F115" t="s">
        <v>104</v>
      </c>
      <c r="G115" s="4" t="s">
        <v>105</v>
      </c>
      <c r="H115" s="4" t="s">
        <v>106</v>
      </c>
      <c r="I115" s="4" t="s">
        <v>107</v>
      </c>
      <c r="J115" s="5">
        <v>0.05</v>
      </c>
      <c r="K115" s="6">
        <v>46351.708333333336</v>
      </c>
      <c r="L115" s="6">
        <v>46352.708333333336</v>
      </c>
      <c r="M115" s="4" t="s">
        <v>108</v>
      </c>
      <c r="N115" s="4" t="s">
        <v>109</v>
      </c>
      <c r="O115" s="4" t="s">
        <v>110</v>
      </c>
    </row>
    <row r="116" spans="1:15" ht="28">
      <c r="A116" t="s">
        <v>43</v>
      </c>
      <c r="B116" t="s">
        <v>416</v>
      </c>
      <c r="C116" t="s">
        <v>44</v>
      </c>
      <c r="D116" t="s">
        <v>45</v>
      </c>
      <c r="E116" t="s">
        <v>417</v>
      </c>
      <c r="F116" t="s">
        <v>6</v>
      </c>
      <c r="G116" s="4" t="s">
        <v>418</v>
      </c>
      <c r="H116" s="4" t="s">
        <v>419</v>
      </c>
      <c r="I116" s="4" t="s">
        <v>87</v>
      </c>
      <c r="J116" s="5">
        <v>0.15</v>
      </c>
      <c r="K116" s="6">
        <v>46265.708333333336</v>
      </c>
      <c r="L116" s="6">
        <v>46290.708333333336</v>
      </c>
      <c r="M116" s="4" t="s">
        <v>420</v>
      </c>
      <c r="N116" s="4" t="s">
        <v>421</v>
      </c>
      <c r="O116" s="4" t="s">
        <v>74</v>
      </c>
    </row>
    <row r="117" spans="1:15" ht="28">
      <c r="A117" t="s">
        <v>43</v>
      </c>
      <c r="B117" t="s">
        <v>416</v>
      </c>
      <c r="C117" t="s">
        <v>44</v>
      </c>
      <c r="D117" t="s">
        <v>45</v>
      </c>
      <c r="E117" t="s">
        <v>422</v>
      </c>
      <c r="F117" t="s">
        <v>6</v>
      </c>
      <c r="G117" s="4" t="s">
        <v>423</v>
      </c>
      <c r="H117" s="4" t="s">
        <v>87</v>
      </c>
      <c r="I117" s="4" t="s">
        <v>269</v>
      </c>
      <c r="J117" s="5">
        <v>0.1</v>
      </c>
      <c r="K117" s="6">
        <v>46269.708333333336</v>
      </c>
      <c r="L117" s="6">
        <v>46303.708333333336</v>
      </c>
      <c r="M117" s="4" t="s">
        <v>424</v>
      </c>
      <c r="N117" s="4" t="s">
        <v>421</v>
      </c>
      <c r="O117" s="4" t="s">
        <v>74</v>
      </c>
    </row>
    <row r="118" spans="1:15" ht="28">
      <c r="A118" t="s">
        <v>43</v>
      </c>
      <c r="B118" t="s">
        <v>416</v>
      </c>
      <c r="C118" t="s">
        <v>44</v>
      </c>
      <c r="D118" t="s">
        <v>45</v>
      </c>
      <c r="E118" t="s">
        <v>425</v>
      </c>
      <c r="F118" t="s">
        <v>6</v>
      </c>
      <c r="G118" s="4" t="s">
        <v>426</v>
      </c>
      <c r="H118" s="4" t="s">
        <v>427</v>
      </c>
      <c r="I118" s="4" t="s">
        <v>428</v>
      </c>
      <c r="J118" s="5">
        <v>0.2</v>
      </c>
      <c r="K118" s="6">
        <v>46275.708333333336</v>
      </c>
      <c r="L118" s="6">
        <v>46314.708333333336</v>
      </c>
      <c r="M118" s="4" t="s">
        <v>429</v>
      </c>
      <c r="N118" s="4" t="s">
        <v>421</v>
      </c>
      <c r="O118" s="4" t="s">
        <v>74</v>
      </c>
    </row>
    <row r="119" spans="1:15" ht="28">
      <c r="A119" t="s">
        <v>43</v>
      </c>
      <c r="B119" t="s">
        <v>416</v>
      </c>
      <c r="C119" t="s">
        <v>44</v>
      </c>
      <c r="D119" t="s">
        <v>45</v>
      </c>
      <c r="E119" t="s">
        <v>430</v>
      </c>
      <c r="F119" t="s">
        <v>6</v>
      </c>
      <c r="G119" s="4" t="s">
        <v>431</v>
      </c>
      <c r="H119" s="4" t="s">
        <v>71</v>
      </c>
      <c r="I119" s="4" t="s">
        <v>432</v>
      </c>
      <c r="J119" s="5">
        <v>0.15</v>
      </c>
      <c r="K119" s="6">
        <v>46283.708333333336</v>
      </c>
      <c r="L119" s="6">
        <v>46325.708333333336</v>
      </c>
      <c r="M119" s="4" t="s">
        <v>433</v>
      </c>
      <c r="N119" s="4" t="s">
        <v>421</v>
      </c>
      <c r="O119" s="4" t="s">
        <v>74</v>
      </c>
    </row>
    <row r="120" spans="1:15" ht="28">
      <c r="A120" t="s">
        <v>43</v>
      </c>
      <c r="B120" t="s">
        <v>416</v>
      </c>
      <c r="C120" t="s">
        <v>44</v>
      </c>
      <c r="D120" t="s">
        <v>45</v>
      </c>
      <c r="E120" t="s">
        <v>434</v>
      </c>
      <c r="F120" t="s">
        <v>6</v>
      </c>
      <c r="G120" s="4" t="s">
        <v>435</v>
      </c>
      <c r="H120" s="4" t="s">
        <v>269</v>
      </c>
      <c r="I120" s="4" t="s">
        <v>87</v>
      </c>
      <c r="J120" s="5">
        <v>0.1</v>
      </c>
      <c r="K120" s="6">
        <v>46297.708333333336</v>
      </c>
      <c r="L120" s="6">
        <v>46337.708333333336</v>
      </c>
      <c r="M120" s="4" t="s">
        <v>436</v>
      </c>
      <c r="N120" s="4" t="s">
        <v>421</v>
      </c>
      <c r="O120" s="4" t="s">
        <v>74</v>
      </c>
    </row>
    <row r="121" spans="1:15" ht="28">
      <c r="A121" t="s">
        <v>43</v>
      </c>
      <c r="B121" t="s">
        <v>416</v>
      </c>
      <c r="C121" t="s">
        <v>44</v>
      </c>
      <c r="D121" t="s">
        <v>45</v>
      </c>
      <c r="E121" t="s">
        <v>437</v>
      </c>
      <c r="F121" t="s">
        <v>6</v>
      </c>
      <c r="G121" s="4" t="s">
        <v>438</v>
      </c>
      <c r="H121" s="4" t="s">
        <v>269</v>
      </c>
      <c r="I121" s="4" t="s">
        <v>134</v>
      </c>
      <c r="J121" s="5">
        <v>0.15</v>
      </c>
      <c r="K121" s="6">
        <v>46314.708333333336</v>
      </c>
      <c r="L121" s="6">
        <v>46349.708333333336</v>
      </c>
      <c r="M121" s="4" t="s">
        <v>439</v>
      </c>
      <c r="N121" s="4" t="s">
        <v>421</v>
      </c>
      <c r="O121" s="4" t="s">
        <v>74</v>
      </c>
    </row>
    <row r="122" spans="1:15" ht="28">
      <c r="A122" t="s">
        <v>43</v>
      </c>
      <c r="B122" t="s">
        <v>416</v>
      </c>
      <c r="C122" t="s">
        <v>44</v>
      </c>
      <c r="D122" t="s">
        <v>45</v>
      </c>
      <c r="E122" t="s">
        <v>440</v>
      </c>
      <c r="F122" t="s">
        <v>7</v>
      </c>
      <c r="G122" s="4" t="s">
        <v>98</v>
      </c>
      <c r="H122" s="4" t="s">
        <v>99</v>
      </c>
      <c r="I122" s="4" t="s">
        <v>100</v>
      </c>
      <c r="J122" s="5">
        <v>0.1</v>
      </c>
      <c r="K122" s="6">
        <v>46350.708333333336</v>
      </c>
      <c r="L122" s="6">
        <v>46350.708333333336</v>
      </c>
      <c r="M122" s="4" t="s">
        <v>101</v>
      </c>
      <c r="N122" s="4" t="s">
        <v>102</v>
      </c>
      <c r="O122" s="4" t="s">
        <v>74</v>
      </c>
    </row>
    <row r="123" spans="1:15" ht="28">
      <c r="A123" t="s">
        <v>43</v>
      </c>
      <c r="B123" t="s">
        <v>416</v>
      </c>
      <c r="C123" t="s">
        <v>44</v>
      </c>
      <c r="D123" t="s">
        <v>45</v>
      </c>
      <c r="E123" t="s">
        <v>441</v>
      </c>
      <c r="F123" t="s">
        <v>104</v>
      </c>
      <c r="G123" s="4" t="s">
        <v>105</v>
      </c>
      <c r="H123" s="4" t="s">
        <v>106</v>
      </c>
      <c r="I123" s="4" t="s">
        <v>107</v>
      </c>
      <c r="J123" s="5">
        <v>0.05</v>
      </c>
      <c r="K123" s="6">
        <v>46351.708333333336</v>
      </c>
      <c r="L123" s="6">
        <v>46355.708333333336</v>
      </c>
      <c r="M123" s="4" t="s">
        <v>108</v>
      </c>
      <c r="N123" s="4" t="s">
        <v>109</v>
      </c>
      <c r="O123" s="4" t="s">
        <v>110</v>
      </c>
    </row>
    <row r="124" spans="1:15" ht="28">
      <c r="A124" t="s">
        <v>43</v>
      </c>
      <c r="B124" t="s">
        <v>416</v>
      </c>
      <c r="C124" t="s">
        <v>46</v>
      </c>
      <c r="D124" t="s">
        <v>47</v>
      </c>
      <c r="E124" t="s">
        <v>442</v>
      </c>
      <c r="F124" t="s">
        <v>6</v>
      </c>
      <c r="G124" s="4" t="s">
        <v>443</v>
      </c>
      <c r="H124" s="4" t="s">
        <v>269</v>
      </c>
      <c r="I124" s="4" t="s">
        <v>71</v>
      </c>
      <c r="J124" s="5">
        <v>0.1</v>
      </c>
      <c r="K124" s="6">
        <v>46313.708333333336</v>
      </c>
      <c r="L124" s="6">
        <v>46326.708333333336</v>
      </c>
      <c r="M124" s="4" t="s">
        <v>444</v>
      </c>
      <c r="N124" s="4" t="s">
        <v>445</v>
      </c>
      <c r="O124" s="4" t="s">
        <v>74</v>
      </c>
    </row>
    <row r="125" spans="1:15" ht="28">
      <c r="A125" t="s">
        <v>43</v>
      </c>
      <c r="B125" t="s">
        <v>416</v>
      </c>
      <c r="C125" t="s">
        <v>46</v>
      </c>
      <c r="D125" t="s">
        <v>47</v>
      </c>
      <c r="E125" t="s">
        <v>446</v>
      </c>
      <c r="F125" t="s">
        <v>6</v>
      </c>
      <c r="G125" s="4" t="s">
        <v>447</v>
      </c>
      <c r="H125" s="4" t="s">
        <v>269</v>
      </c>
      <c r="I125" s="4" t="s">
        <v>448</v>
      </c>
      <c r="J125" s="5">
        <v>0.2</v>
      </c>
      <c r="K125" s="6">
        <v>46315.708333333336</v>
      </c>
      <c r="L125" s="6">
        <v>46333.708333333336</v>
      </c>
      <c r="M125" s="4" t="s">
        <v>449</v>
      </c>
      <c r="N125" s="4" t="s">
        <v>445</v>
      </c>
      <c r="O125" s="4" t="s">
        <v>74</v>
      </c>
    </row>
    <row r="126" spans="1:15" ht="28">
      <c r="A126" t="s">
        <v>43</v>
      </c>
      <c r="B126" t="s">
        <v>416</v>
      </c>
      <c r="C126" t="s">
        <v>46</v>
      </c>
      <c r="D126" t="s">
        <v>47</v>
      </c>
      <c r="E126" t="s">
        <v>450</v>
      </c>
      <c r="F126" t="s">
        <v>6</v>
      </c>
      <c r="G126" s="4" t="s">
        <v>451</v>
      </c>
      <c r="H126" s="4" t="s">
        <v>269</v>
      </c>
      <c r="I126" s="4" t="s">
        <v>87</v>
      </c>
      <c r="J126" s="5">
        <v>0.15</v>
      </c>
      <c r="K126" s="6">
        <v>46318.708333333336</v>
      </c>
      <c r="L126" s="6">
        <v>46339.708333333336</v>
      </c>
      <c r="M126" s="4" t="s">
        <v>452</v>
      </c>
      <c r="N126" s="4" t="s">
        <v>445</v>
      </c>
      <c r="O126" s="4" t="s">
        <v>74</v>
      </c>
    </row>
    <row r="127" spans="1:15" ht="28">
      <c r="A127" t="s">
        <v>43</v>
      </c>
      <c r="B127" t="s">
        <v>416</v>
      </c>
      <c r="C127" t="s">
        <v>46</v>
      </c>
      <c r="D127" t="s">
        <v>47</v>
      </c>
      <c r="E127" t="s">
        <v>453</v>
      </c>
      <c r="F127" t="s">
        <v>6</v>
      </c>
      <c r="G127" s="4" t="s">
        <v>454</v>
      </c>
      <c r="H127" s="4" t="s">
        <v>321</v>
      </c>
      <c r="I127" s="4" t="s">
        <v>78</v>
      </c>
      <c r="J127" s="5">
        <v>0.15</v>
      </c>
      <c r="K127" s="6">
        <v>46323.708333333336</v>
      </c>
      <c r="L127" s="6">
        <v>46345.708333333336</v>
      </c>
      <c r="M127" s="4" t="s">
        <v>455</v>
      </c>
      <c r="N127" s="4" t="s">
        <v>445</v>
      </c>
      <c r="O127" s="4" t="s">
        <v>74</v>
      </c>
    </row>
    <row r="128" spans="1:15" ht="28">
      <c r="A128" t="s">
        <v>43</v>
      </c>
      <c r="B128" t="s">
        <v>416</v>
      </c>
      <c r="C128" t="s">
        <v>46</v>
      </c>
      <c r="D128" t="s">
        <v>47</v>
      </c>
      <c r="E128" t="s">
        <v>456</v>
      </c>
      <c r="F128" t="s">
        <v>6</v>
      </c>
      <c r="G128" s="4" t="s">
        <v>457</v>
      </c>
      <c r="H128" s="4" t="s">
        <v>71</v>
      </c>
      <c r="I128" s="4" t="s">
        <v>269</v>
      </c>
      <c r="J128" s="5">
        <v>0.1</v>
      </c>
      <c r="K128" s="6">
        <v>46330.708333333336</v>
      </c>
      <c r="L128" s="6">
        <v>46351.708333333336</v>
      </c>
      <c r="M128" s="4" t="s">
        <v>458</v>
      </c>
      <c r="N128" s="4" t="s">
        <v>445</v>
      </c>
      <c r="O128" s="4" t="s">
        <v>74</v>
      </c>
    </row>
    <row r="129" spans="1:15" ht="28">
      <c r="A129" t="s">
        <v>43</v>
      </c>
      <c r="B129" t="s">
        <v>416</v>
      </c>
      <c r="C129" t="s">
        <v>46</v>
      </c>
      <c r="D129" t="s">
        <v>47</v>
      </c>
      <c r="E129" t="s">
        <v>459</v>
      </c>
      <c r="F129" t="s">
        <v>6</v>
      </c>
      <c r="G129" s="4" t="s">
        <v>460</v>
      </c>
      <c r="H129" s="4" t="s">
        <v>269</v>
      </c>
      <c r="I129" s="4" t="s">
        <v>71</v>
      </c>
      <c r="J129" s="5">
        <v>0.15</v>
      </c>
      <c r="K129" s="6">
        <v>46339.708333333336</v>
      </c>
      <c r="L129" s="6">
        <v>46357.708333333336</v>
      </c>
      <c r="M129" s="4" t="s">
        <v>461</v>
      </c>
      <c r="N129" s="4" t="s">
        <v>445</v>
      </c>
      <c r="O129" s="4" t="s">
        <v>74</v>
      </c>
    </row>
    <row r="130" spans="1:15" ht="28">
      <c r="A130" t="s">
        <v>43</v>
      </c>
      <c r="B130" t="s">
        <v>416</v>
      </c>
      <c r="C130" t="s">
        <v>46</v>
      </c>
      <c r="D130" t="s">
        <v>47</v>
      </c>
      <c r="E130" t="s">
        <v>462</v>
      </c>
      <c r="F130" t="s">
        <v>7</v>
      </c>
      <c r="G130" s="4" t="s">
        <v>98</v>
      </c>
      <c r="H130" s="4" t="s">
        <v>99</v>
      </c>
      <c r="I130" s="4" t="s">
        <v>100</v>
      </c>
      <c r="J130" s="5">
        <v>0.1</v>
      </c>
      <c r="K130" s="6">
        <v>46358.708333333336</v>
      </c>
      <c r="L130" s="6">
        <v>46358.708333333336</v>
      </c>
      <c r="M130" s="4" t="s">
        <v>101</v>
      </c>
      <c r="N130" s="4" t="s">
        <v>102</v>
      </c>
      <c r="O130" s="4" t="s">
        <v>74</v>
      </c>
    </row>
    <row r="131" spans="1:15" ht="28">
      <c r="A131" t="s">
        <v>43</v>
      </c>
      <c r="B131" t="s">
        <v>416</v>
      </c>
      <c r="C131" t="s">
        <v>46</v>
      </c>
      <c r="D131" t="s">
        <v>47</v>
      </c>
      <c r="E131" t="s">
        <v>463</v>
      </c>
      <c r="F131" t="s">
        <v>104</v>
      </c>
      <c r="G131" s="4" t="s">
        <v>105</v>
      </c>
      <c r="H131" s="4" t="s">
        <v>106</v>
      </c>
      <c r="I131" s="4" t="s">
        <v>107</v>
      </c>
      <c r="J131" s="5">
        <v>0.05</v>
      </c>
      <c r="K131" s="6">
        <v>46359.708333333336</v>
      </c>
      <c r="L131" s="6">
        <v>46359.708333333336</v>
      </c>
      <c r="M131" s="4" t="s">
        <v>108</v>
      </c>
      <c r="N131" s="4" t="s">
        <v>109</v>
      </c>
      <c r="O131" s="4" t="s">
        <v>110</v>
      </c>
    </row>
    <row r="132" spans="1:15" ht="28">
      <c r="A132" t="s">
        <v>43</v>
      </c>
      <c r="B132" t="s">
        <v>416</v>
      </c>
      <c r="C132" t="s">
        <v>48</v>
      </c>
      <c r="D132" t="s">
        <v>49</v>
      </c>
      <c r="E132" t="s">
        <v>464</v>
      </c>
      <c r="F132" t="s">
        <v>6</v>
      </c>
      <c r="G132" s="4" t="s">
        <v>465</v>
      </c>
      <c r="H132" s="4" t="s">
        <v>269</v>
      </c>
      <c r="I132" s="4" t="s">
        <v>287</v>
      </c>
      <c r="J132" s="5">
        <v>0.1</v>
      </c>
      <c r="K132" s="6">
        <v>46320.708333333336</v>
      </c>
      <c r="L132" s="6">
        <v>46332.708333333336</v>
      </c>
      <c r="M132" s="4" t="s">
        <v>466</v>
      </c>
      <c r="N132" s="4" t="s">
        <v>467</v>
      </c>
      <c r="O132" s="4" t="s">
        <v>74</v>
      </c>
    </row>
    <row r="133" spans="1:15" ht="28">
      <c r="A133" t="s">
        <v>43</v>
      </c>
      <c r="B133" t="s">
        <v>416</v>
      </c>
      <c r="C133" t="s">
        <v>48</v>
      </c>
      <c r="D133" t="s">
        <v>49</v>
      </c>
      <c r="E133" t="s">
        <v>468</v>
      </c>
      <c r="F133" t="s">
        <v>6</v>
      </c>
      <c r="G133" s="4" t="s">
        <v>469</v>
      </c>
      <c r="H133" s="4" t="s">
        <v>157</v>
      </c>
      <c r="I133" s="4" t="s">
        <v>470</v>
      </c>
      <c r="J133" s="5">
        <v>0.15</v>
      </c>
      <c r="K133" s="6">
        <v>46322.708333333336</v>
      </c>
      <c r="L133" s="6">
        <v>46338.708333333336</v>
      </c>
      <c r="M133" s="4" t="s">
        <v>471</v>
      </c>
      <c r="N133" s="4" t="s">
        <v>467</v>
      </c>
      <c r="O133" s="4" t="s">
        <v>74</v>
      </c>
    </row>
    <row r="134" spans="1:15" ht="28">
      <c r="A134" t="s">
        <v>43</v>
      </c>
      <c r="B134" t="s">
        <v>416</v>
      </c>
      <c r="C134" t="s">
        <v>48</v>
      </c>
      <c r="D134" t="s">
        <v>49</v>
      </c>
      <c r="E134" t="s">
        <v>472</v>
      </c>
      <c r="F134" t="s">
        <v>6</v>
      </c>
      <c r="G134" s="4" t="s">
        <v>473</v>
      </c>
      <c r="H134" s="4" t="s">
        <v>291</v>
      </c>
      <c r="I134" s="4" t="s">
        <v>269</v>
      </c>
      <c r="J134" s="5">
        <v>0.15</v>
      </c>
      <c r="K134" s="6">
        <v>46325.708333333336</v>
      </c>
      <c r="L134" s="6">
        <v>46343.708333333336</v>
      </c>
      <c r="M134" s="4" t="s">
        <v>474</v>
      </c>
      <c r="N134" s="4" t="s">
        <v>467</v>
      </c>
      <c r="O134" s="4" t="s">
        <v>74</v>
      </c>
    </row>
    <row r="135" spans="1:15" ht="28">
      <c r="A135" t="s">
        <v>43</v>
      </c>
      <c r="B135" t="s">
        <v>416</v>
      </c>
      <c r="C135" t="s">
        <v>48</v>
      </c>
      <c r="D135" t="s">
        <v>49</v>
      </c>
      <c r="E135" t="s">
        <v>475</v>
      </c>
      <c r="F135" t="s">
        <v>6</v>
      </c>
      <c r="G135" s="4" t="s">
        <v>476</v>
      </c>
      <c r="H135" s="4" t="s">
        <v>269</v>
      </c>
      <c r="I135" s="4" t="s">
        <v>477</v>
      </c>
      <c r="J135" s="5">
        <v>0.2</v>
      </c>
      <c r="K135" s="6">
        <v>46329.708333333336</v>
      </c>
      <c r="L135" s="6">
        <v>46348.708333333336</v>
      </c>
      <c r="M135" s="4" t="s">
        <v>478</v>
      </c>
      <c r="N135" s="4" t="s">
        <v>467</v>
      </c>
      <c r="O135" s="4" t="s">
        <v>74</v>
      </c>
    </row>
    <row r="136" spans="1:15" ht="28">
      <c r="A136" t="s">
        <v>43</v>
      </c>
      <c r="B136" t="s">
        <v>416</v>
      </c>
      <c r="C136" t="s">
        <v>48</v>
      </c>
      <c r="D136" t="s">
        <v>49</v>
      </c>
      <c r="E136" t="s">
        <v>479</v>
      </c>
      <c r="F136" t="s">
        <v>6</v>
      </c>
      <c r="G136" s="4" t="s">
        <v>480</v>
      </c>
      <c r="H136" s="4" t="s">
        <v>291</v>
      </c>
      <c r="I136" s="4" t="s">
        <v>256</v>
      </c>
      <c r="J136" s="5">
        <v>0.15</v>
      </c>
      <c r="K136" s="6">
        <v>46335.708333333336</v>
      </c>
      <c r="L136" s="6">
        <v>46354.708333333336</v>
      </c>
      <c r="M136" s="4" t="s">
        <v>481</v>
      </c>
      <c r="N136" s="4" t="s">
        <v>467</v>
      </c>
      <c r="O136" s="4" t="s">
        <v>74</v>
      </c>
    </row>
    <row r="137" spans="1:15" ht="28">
      <c r="A137" t="s">
        <v>43</v>
      </c>
      <c r="B137" t="s">
        <v>416</v>
      </c>
      <c r="C137" t="s">
        <v>48</v>
      </c>
      <c r="D137" t="s">
        <v>49</v>
      </c>
      <c r="E137" t="s">
        <v>482</v>
      </c>
      <c r="F137" t="s">
        <v>6</v>
      </c>
      <c r="G137" s="4" t="s">
        <v>483</v>
      </c>
      <c r="H137" s="4" t="s">
        <v>87</v>
      </c>
      <c r="I137" s="4" t="s">
        <v>427</v>
      </c>
      <c r="J137" s="5">
        <v>0.1</v>
      </c>
      <c r="K137" s="6">
        <v>46343.708333333336</v>
      </c>
      <c r="L137" s="6">
        <v>46359.708333333336</v>
      </c>
      <c r="M137" s="4" t="s">
        <v>484</v>
      </c>
      <c r="N137" s="4" t="s">
        <v>467</v>
      </c>
      <c r="O137" s="4" t="s">
        <v>74</v>
      </c>
    </row>
    <row r="138" spans="1:15" ht="28">
      <c r="A138" t="s">
        <v>43</v>
      </c>
      <c r="B138" t="s">
        <v>416</v>
      </c>
      <c r="C138" t="s">
        <v>48</v>
      </c>
      <c r="D138" t="s">
        <v>49</v>
      </c>
      <c r="E138" t="s">
        <v>485</v>
      </c>
      <c r="F138" t="s">
        <v>7</v>
      </c>
      <c r="G138" s="4" t="s">
        <v>98</v>
      </c>
      <c r="H138" s="4" t="s">
        <v>99</v>
      </c>
      <c r="I138" s="4" t="s">
        <v>100</v>
      </c>
      <c r="J138" s="5">
        <v>0.1</v>
      </c>
      <c r="K138" s="6">
        <v>46360.708333333336</v>
      </c>
      <c r="L138" s="6">
        <v>46362.708333333336</v>
      </c>
      <c r="M138" s="4" t="s">
        <v>101</v>
      </c>
      <c r="N138" s="4" t="s">
        <v>102</v>
      </c>
      <c r="O138" s="4" t="s">
        <v>74</v>
      </c>
    </row>
    <row r="139" spans="1:15" ht="28">
      <c r="A139" t="s">
        <v>43</v>
      </c>
      <c r="B139" t="s">
        <v>416</v>
      </c>
      <c r="C139" t="s">
        <v>48</v>
      </c>
      <c r="D139" t="s">
        <v>49</v>
      </c>
      <c r="E139" t="s">
        <v>486</v>
      </c>
      <c r="F139" t="s">
        <v>104</v>
      </c>
      <c r="G139" s="4" t="s">
        <v>105</v>
      </c>
      <c r="H139" s="4" t="s">
        <v>106</v>
      </c>
      <c r="I139" s="4" t="s">
        <v>107</v>
      </c>
      <c r="J139" s="5">
        <v>0.05</v>
      </c>
      <c r="K139" s="6">
        <v>46363.708333333336</v>
      </c>
      <c r="L139" s="6">
        <v>46363.708333333336</v>
      </c>
      <c r="M139" s="4" t="s">
        <v>108</v>
      </c>
      <c r="N139" s="4" t="s">
        <v>109</v>
      </c>
      <c r="O139" s="4" t="s">
        <v>110</v>
      </c>
    </row>
    <row r="140" spans="1:15" ht="28">
      <c r="A140" t="s">
        <v>43</v>
      </c>
      <c r="B140" t="s">
        <v>416</v>
      </c>
      <c r="C140" t="s">
        <v>50</v>
      </c>
      <c r="D140" t="s">
        <v>51</v>
      </c>
      <c r="E140" t="s">
        <v>487</v>
      </c>
      <c r="F140" t="s">
        <v>6</v>
      </c>
      <c r="G140" s="4" t="s">
        <v>488</v>
      </c>
      <c r="H140" s="4" t="s">
        <v>184</v>
      </c>
      <c r="I140" s="4" t="s">
        <v>78</v>
      </c>
      <c r="J140" s="5">
        <v>0.15</v>
      </c>
      <c r="K140" s="6">
        <v>46295.708333333336</v>
      </c>
      <c r="L140" s="6">
        <v>46314.708333333336</v>
      </c>
      <c r="M140" s="4" t="s">
        <v>489</v>
      </c>
      <c r="N140" s="4" t="s">
        <v>490</v>
      </c>
      <c r="O140" s="4" t="s">
        <v>74</v>
      </c>
    </row>
    <row r="141" spans="1:15" ht="28">
      <c r="A141" t="s">
        <v>43</v>
      </c>
      <c r="B141" t="s">
        <v>416</v>
      </c>
      <c r="C141" t="s">
        <v>50</v>
      </c>
      <c r="D141" t="s">
        <v>51</v>
      </c>
      <c r="E141" t="s">
        <v>491</v>
      </c>
      <c r="F141" t="s">
        <v>6</v>
      </c>
      <c r="G141" s="4" t="s">
        <v>492</v>
      </c>
      <c r="H141" s="4" t="s">
        <v>493</v>
      </c>
      <c r="I141" s="4" t="s">
        <v>87</v>
      </c>
      <c r="J141" s="5">
        <v>0.15</v>
      </c>
      <c r="K141" s="6">
        <v>46298.708333333336</v>
      </c>
      <c r="L141" s="6">
        <v>46323.708333333336</v>
      </c>
      <c r="M141" s="4" t="s">
        <v>494</v>
      </c>
      <c r="N141" s="4" t="s">
        <v>490</v>
      </c>
      <c r="O141" s="4" t="s">
        <v>74</v>
      </c>
    </row>
    <row r="142" spans="1:15" ht="28">
      <c r="A142" t="s">
        <v>43</v>
      </c>
      <c r="B142" t="s">
        <v>416</v>
      </c>
      <c r="C142" t="s">
        <v>50</v>
      </c>
      <c r="D142" t="s">
        <v>51</v>
      </c>
      <c r="E142" t="s">
        <v>495</v>
      </c>
      <c r="F142" t="s">
        <v>6</v>
      </c>
      <c r="G142" s="4" t="s">
        <v>496</v>
      </c>
      <c r="H142" s="4" t="s">
        <v>497</v>
      </c>
      <c r="I142" s="4" t="s">
        <v>91</v>
      </c>
      <c r="J142" s="5">
        <v>0.15</v>
      </c>
      <c r="K142" s="6">
        <v>46302.708333333336</v>
      </c>
      <c r="L142" s="6">
        <v>46331.708333333336</v>
      </c>
      <c r="M142" s="4" t="s">
        <v>498</v>
      </c>
      <c r="N142" s="4" t="s">
        <v>490</v>
      </c>
      <c r="O142" s="4" t="s">
        <v>74</v>
      </c>
    </row>
    <row r="143" spans="1:15" ht="28">
      <c r="A143" t="s">
        <v>43</v>
      </c>
      <c r="B143" t="s">
        <v>416</v>
      </c>
      <c r="C143" t="s">
        <v>50</v>
      </c>
      <c r="D143" t="s">
        <v>51</v>
      </c>
      <c r="E143" t="s">
        <v>499</v>
      </c>
      <c r="F143" t="s">
        <v>6</v>
      </c>
      <c r="G143" s="4" t="s">
        <v>500</v>
      </c>
      <c r="H143" s="4" t="s">
        <v>78</v>
      </c>
      <c r="I143" s="4" t="s">
        <v>269</v>
      </c>
      <c r="J143" s="5">
        <v>0.15</v>
      </c>
      <c r="K143" s="6">
        <v>46309.708333333336</v>
      </c>
      <c r="L143" s="6">
        <v>46340.708333333336</v>
      </c>
      <c r="M143" s="4" t="s">
        <v>501</v>
      </c>
      <c r="N143" s="4" t="s">
        <v>490</v>
      </c>
      <c r="O143" s="4" t="s">
        <v>74</v>
      </c>
    </row>
    <row r="144" spans="1:15" ht="28">
      <c r="A144" t="s">
        <v>43</v>
      </c>
      <c r="B144" t="s">
        <v>416</v>
      </c>
      <c r="C144" t="s">
        <v>50</v>
      </c>
      <c r="D144" t="s">
        <v>51</v>
      </c>
      <c r="E144" t="s">
        <v>502</v>
      </c>
      <c r="F144" t="s">
        <v>6</v>
      </c>
      <c r="G144" s="4" t="s">
        <v>503</v>
      </c>
      <c r="H144" s="4" t="s">
        <v>269</v>
      </c>
      <c r="I144" s="4" t="s">
        <v>504</v>
      </c>
      <c r="J144" s="5">
        <v>0.15</v>
      </c>
      <c r="K144" s="6">
        <v>46319.708333333336</v>
      </c>
      <c r="L144" s="6">
        <v>46348.708333333336</v>
      </c>
      <c r="M144" s="4" t="s">
        <v>505</v>
      </c>
      <c r="N144" s="4" t="s">
        <v>490</v>
      </c>
      <c r="O144" s="4" t="s">
        <v>74</v>
      </c>
    </row>
    <row r="145" spans="1:15" ht="28">
      <c r="A145" t="s">
        <v>43</v>
      </c>
      <c r="B145" t="s">
        <v>416</v>
      </c>
      <c r="C145" t="s">
        <v>50</v>
      </c>
      <c r="D145" t="s">
        <v>51</v>
      </c>
      <c r="E145" t="s">
        <v>506</v>
      </c>
      <c r="F145" t="s">
        <v>6</v>
      </c>
      <c r="G145" s="4" t="s">
        <v>507</v>
      </c>
      <c r="H145" s="4" t="s">
        <v>157</v>
      </c>
      <c r="I145" s="4" t="s">
        <v>77</v>
      </c>
      <c r="J145" s="5">
        <v>0.1</v>
      </c>
      <c r="K145" s="6">
        <v>46331.708333333336</v>
      </c>
      <c r="L145" s="6">
        <v>46357.708333333336</v>
      </c>
      <c r="M145" s="4" t="s">
        <v>508</v>
      </c>
      <c r="N145" s="4" t="s">
        <v>490</v>
      </c>
      <c r="O145" s="4" t="s">
        <v>74</v>
      </c>
    </row>
    <row r="146" spans="1:15" ht="28">
      <c r="A146" t="s">
        <v>43</v>
      </c>
      <c r="B146" t="s">
        <v>416</v>
      </c>
      <c r="C146" t="s">
        <v>50</v>
      </c>
      <c r="D146" t="s">
        <v>51</v>
      </c>
      <c r="E146" t="s">
        <v>509</v>
      </c>
      <c r="F146" t="s">
        <v>7</v>
      </c>
      <c r="G146" s="4" t="s">
        <v>98</v>
      </c>
      <c r="H146" s="4" t="s">
        <v>99</v>
      </c>
      <c r="I146" s="4" t="s">
        <v>100</v>
      </c>
      <c r="J146" s="5">
        <v>0.1</v>
      </c>
      <c r="K146" s="6">
        <v>46358.708333333336</v>
      </c>
      <c r="L146" s="6">
        <v>46358.708333333336</v>
      </c>
      <c r="M146" s="4" t="s">
        <v>101</v>
      </c>
      <c r="N146" s="4" t="s">
        <v>102</v>
      </c>
      <c r="O146" s="4" t="s">
        <v>74</v>
      </c>
    </row>
    <row r="147" spans="1:15" ht="28">
      <c r="A147" t="s">
        <v>43</v>
      </c>
      <c r="B147" t="s">
        <v>416</v>
      </c>
      <c r="C147" t="s">
        <v>50</v>
      </c>
      <c r="D147" t="s">
        <v>51</v>
      </c>
      <c r="E147" t="s">
        <v>510</v>
      </c>
      <c r="F147" t="s">
        <v>104</v>
      </c>
      <c r="G147" s="4" t="s">
        <v>105</v>
      </c>
      <c r="H147" s="4" t="s">
        <v>106</v>
      </c>
      <c r="I147" s="4" t="s">
        <v>107</v>
      </c>
      <c r="J147" s="5">
        <v>0.05</v>
      </c>
      <c r="K147" s="6">
        <v>46359.708333333336</v>
      </c>
      <c r="L147" s="6">
        <v>46365.708333333336</v>
      </c>
      <c r="M147" s="4" t="s">
        <v>108</v>
      </c>
      <c r="N147" s="4" t="s">
        <v>109</v>
      </c>
      <c r="O147" s="4" t="s">
        <v>110</v>
      </c>
    </row>
  </sheetData>
  <mergeCells count="2">
    <mergeCell ref="A1:O1"/>
    <mergeCell ref="A2:O2"/>
  </mergeCells>
  <conditionalFormatting sqref="O5:O147">
    <cfRule type="containsText" dxfId="0" priority="1" operator="containsText" text="confirmar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showGridLines="0" workbookViewId="0"/>
  </sheetViews>
  <sheetFormatPr baseColWidth="10" defaultColWidth="8.6640625" defaultRowHeight="14"/>
  <cols>
    <col min="1" max="1" width="36" customWidth="1"/>
    <col min="2" max="2" width="46" customWidth="1"/>
    <col min="3" max="3" width="48" customWidth="1"/>
    <col min="4" max="4" width="38" customWidth="1"/>
  </cols>
  <sheetData>
    <row r="1" spans="1:4" ht="28" customHeight="1">
      <c r="A1" s="9" t="s">
        <v>511</v>
      </c>
      <c r="B1" s="9"/>
      <c r="C1" s="9"/>
      <c r="D1" s="9"/>
    </row>
    <row r="3" spans="1:4" ht="30" customHeight="1">
      <c r="A3" s="1" t="s">
        <v>512</v>
      </c>
      <c r="B3" s="1" t="s">
        <v>513</v>
      </c>
      <c r="C3" s="1" t="s">
        <v>514</v>
      </c>
      <c r="D3" s="1" t="s">
        <v>515</v>
      </c>
    </row>
    <row r="4" spans="1:4">
      <c r="A4" s="4" t="s">
        <v>516</v>
      </c>
      <c r="B4" s="4" t="s">
        <v>517</v>
      </c>
      <c r="C4" s="4" t="s">
        <v>518</v>
      </c>
      <c r="D4" s="4" t="s">
        <v>519</v>
      </c>
    </row>
    <row r="5" spans="1:4" ht="28">
      <c r="A5" s="4" t="s">
        <v>71</v>
      </c>
      <c r="B5" s="4" t="s">
        <v>520</v>
      </c>
      <c r="C5" s="4" t="s">
        <v>521</v>
      </c>
      <c r="D5" s="4" t="s">
        <v>522</v>
      </c>
    </row>
    <row r="6" spans="1:4" ht="28">
      <c r="A6" s="4" t="s">
        <v>77</v>
      </c>
      <c r="B6" s="4" t="s">
        <v>523</v>
      </c>
      <c r="C6" s="4" t="s">
        <v>524</v>
      </c>
      <c r="D6" s="4" t="s">
        <v>525</v>
      </c>
    </row>
    <row r="7" spans="1:4" ht="28">
      <c r="A7" s="4" t="s">
        <v>91</v>
      </c>
      <c r="B7" s="4" t="s">
        <v>526</v>
      </c>
      <c r="C7" s="4" t="s">
        <v>527</v>
      </c>
      <c r="D7" s="4" t="s">
        <v>528</v>
      </c>
    </row>
    <row r="8" spans="1:4">
      <c r="A8" s="4" t="s">
        <v>78</v>
      </c>
      <c r="B8" s="4" t="s">
        <v>529</v>
      </c>
      <c r="C8" s="4" t="s">
        <v>530</v>
      </c>
      <c r="D8" s="4" t="s">
        <v>531</v>
      </c>
    </row>
    <row r="9" spans="1:4">
      <c r="A9" s="4" t="s">
        <v>158</v>
      </c>
      <c r="B9" s="4" t="s">
        <v>532</v>
      </c>
      <c r="C9" s="4" t="s">
        <v>533</v>
      </c>
      <c r="D9" s="4" t="s">
        <v>534</v>
      </c>
    </row>
    <row r="10" spans="1:4">
      <c r="A10" s="4" t="s">
        <v>83</v>
      </c>
      <c r="B10" s="4" t="s">
        <v>535</v>
      </c>
      <c r="C10" s="4" t="s">
        <v>536</v>
      </c>
      <c r="D10" s="4" t="s">
        <v>537</v>
      </c>
    </row>
    <row r="11" spans="1:4">
      <c r="A11" s="4" t="s">
        <v>120</v>
      </c>
      <c r="B11" s="4" t="s">
        <v>538</v>
      </c>
      <c r="C11" s="4" t="s">
        <v>539</v>
      </c>
      <c r="D11" s="4" t="s">
        <v>540</v>
      </c>
    </row>
    <row r="12" spans="1:4">
      <c r="A12" s="4" t="s">
        <v>198</v>
      </c>
      <c r="B12" s="4" t="s">
        <v>541</v>
      </c>
      <c r="C12" s="4" t="s">
        <v>542</v>
      </c>
      <c r="D12" s="4" t="s">
        <v>543</v>
      </c>
    </row>
    <row r="13" spans="1:4" ht="28">
      <c r="A13" s="4" t="s">
        <v>544</v>
      </c>
      <c r="B13" s="4" t="s">
        <v>545</v>
      </c>
      <c r="C13" s="4" t="s">
        <v>546</v>
      </c>
      <c r="D13" s="4" t="s">
        <v>547</v>
      </c>
    </row>
    <row r="14" spans="1:4">
      <c r="A14" s="4" t="s">
        <v>262</v>
      </c>
      <c r="B14" s="4" t="s">
        <v>548</v>
      </c>
      <c r="C14" s="4" t="s">
        <v>549</v>
      </c>
      <c r="D14" s="4" t="s">
        <v>550</v>
      </c>
    </row>
    <row r="15" spans="1:4">
      <c r="A15" s="4" t="s">
        <v>287</v>
      </c>
      <c r="B15" s="4" t="s">
        <v>551</v>
      </c>
      <c r="C15" s="4" t="s">
        <v>552</v>
      </c>
      <c r="D15" s="4" t="s">
        <v>553</v>
      </c>
    </row>
    <row r="16" spans="1:4">
      <c r="A16" s="4" t="s">
        <v>256</v>
      </c>
      <c r="B16" s="4" t="s">
        <v>554</v>
      </c>
      <c r="C16" s="4" t="s">
        <v>555</v>
      </c>
      <c r="D16" s="4" t="s">
        <v>556</v>
      </c>
    </row>
    <row r="17" spans="1:4">
      <c r="A17" s="4" t="s">
        <v>87</v>
      </c>
      <c r="B17" s="4" t="s">
        <v>557</v>
      </c>
      <c r="C17" s="4" t="s">
        <v>558</v>
      </c>
      <c r="D17" s="4" t="s">
        <v>559</v>
      </c>
    </row>
    <row r="18" spans="1:4">
      <c r="A18" s="4" t="s">
        <v>269</v>
      </c>
      <c r="B18" s="4" t="s">
        <v>560</v>
      </c>
      <c r="C18" s="4" t="s">
        <v>561</v>
      </c>
      <c r="D18" s="4" t="s">
        <v>562</v>
      </c>
    </row>
    <row r="19" spans="1:4">
      <c r="A19" s="4" t="s">
        <v>106</v>
      </c>
      <c r="B19" s="4" t="s">
        <v>563</v>
      </c>
      <c r="C19" s="4" t="s">
        <v>564</v>
      </c>
      <c r="D19" s="4" t="s">
        <v>565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Asignación detallada</vt:lpstr>
      <vt:lpstr>Perfiles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Ruiz Franco</dc:creator>
  <cp:lastModifiedBy>Paola Andrea Ruiz Franco</cp:lastModifiedBy>
  <dcterms:created xsi:type="dcterms:W3CDTF">2026-08-24T20:32:09Z</dcterms:created>
  <dcterms:modified xsi:type="dcterms:W3CDTF">2026-08-24T20:32:09Z</dcterms:modified>
</cp:coreProperties>
</file>