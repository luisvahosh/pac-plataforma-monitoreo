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tables/table3.xml" ContentType="application/vnd.openxmlformats-officedocument.spreadsheetml.table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1cdc96360e984459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Actividades" sheetId="1" r:id="R7feecfa15373464f"/>
    <x:sheet xmlns:r="http://schemas.openxmlformats.org/officeDocument/2006/relationships" name="Entregables" sheetId="2" r:id="R0529154bb008459b"/>
    <x:sheet xmlns:r="http://schemas.openxmlformats.org/officeDocument/2006/relationships" name="Tareas" sheetId="3" r:id="Rb8268deed20e4124"/>
    <x:sheet xmlns:r="http://schemas.openxmlformats.org/officeDocument/2006/relationships" name="Guía" sheetId="4" r:id="Re450a372e54c4d00"/>
    <x:sheet xmlns:r="http://schemas.openxmlformats.org/officeDocument/2006/relationships" name="Asignaciones" sheetId="5" r:id="R769584923a9845aa"/>
    <x:sheet xmlns:r="http://schemas.openxmlformats.org/officeDocument/2006/relationships" name="Pesos por persona" sheetId="6" r:id="R0359099b6b2041b8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0.0%"/>
    <x:numFmt numFmtId="201" formatCode="dd/mm/yyyy"/>
    <x:numFmt numFmtId="202" formatCode="0%"/>
    <x:numFmt numFmtId="203" formatCode="0.00%"/>
  </x:numFmts>
  <x:fonts count="7">
    <x:font>
      <x:sz val="11"/>
      <x:name val="Carlito"/>
    </x:font>
    <x:font>
      <x:sz val="10"/>
      <x:color rgb="FF243344"/>
      <x:name val="Arial"/>
    </x:font>
    <x:font>
      <x:b/>
      <x:sz val="15"/>
      <x:color rgb="FF243344"/>
      <x:name val="Arial"/>
    </x:font>
    <x:font>
      <x:sz val="10"/>
      <x:color rgb="FF526375"/>
      <x:name val="Arial"/>
    </x:font>
    <x:font>
      <x:b/>
      <x:sz val="10"/>
      <x:color rgb="FFFFFFFF"/>
      <x:name val="Arial"/>
    </x:font>
    <x:font>
      <x:sz val="10"/>
      <x:name val="Arial"/>
    </x:font>
    <x:font>
      <x:b/>
      <x:sz val="15"/>
      <x:name val="Arial"/>
    </x:font>
  </x:fonts>
  <x:fills count="7">
    <x:fill>
      <x:patternFill patternType="none"/>
    </x:fill>
    <x:fill>
      <x:patternFill patternType="gray125"/>
    </x:fill>
    <x:fill>
      <x:patternFill patternType="solid">
        <x:fgColor rgb="FF243D57"/>
      </x:patternFill>
    </x:fill>
    <x:fill>
      <x:patternFill patternType="solid">
        <x:fgColor rgb="FFFFF4D6"/>
      </x:patternFill>
    </x:fill>
    <x:fill>
      <x:patternFill patternType="solid">
        <x:fgColor rgb="FFF0F3F7"/>
      </x:patternFill>
    </x:fill>
    <x:fill>
      <x:patternFill patternType="solid">
        <x:fgColor rgb="FF243D57"/>
      </x:patternFill>
    </x:fill>
    <x:fill>
      <x:patternFill patternType="solid">
        <x:fgColor rgb="FFFFF4D6"/>
      </x:patternFill>
    </x:fill>
  </x:fills>
  <x:borders count="1">
    <x:border/>
  </x:borders>
  <x:cellStyleXfs count="1">
    <x:xf numFmtId="0" fontId="0" fillId="0" borderId="0"/>
  </x:cellStyleXfs>
  <x:cellXfs count="44">
    <x:xf numFmtId="0" fontId="0" fillId="0" borderId="0" xfId="0"/>
    <x:xf numFmtId="200" fontId="0" fillId="0" borderId="0" xfId="0" applyNumberFormat="1" applyFont="1" applyFill="1" applyBorder="1"/>
    <x:xf numFmtId="201" fontId="0" fillId="0" borderId="0" xfId="0" applyNumberFormat="1" applyFont="1" applyFill="1" applyBorder="1"/>
    <x:xf numFmtId="202" fontId="0" fillId="0" borderId="0" xfId="0" applyNumberFormat="1" applyFont="1" applyFill="1" applyBorder="1"/>
    <x:xf numFmtId="0" fontId="1" fillId="0" borderId="0" xfId="0" applyNumberFormat="1" applyFont="1" applyFill="1" applyBorder="1"/>
    <x:xf numFmtId="200" fontId="1" fillId="0" borderId="0" xfId="0" applyNumberFormat="1" applyFont="1" applyFill="1" applyBorder="1"/>
    <x:xf numFmtId="201" fontId="1" fillId="0" borderId="0" xfId="0" applyNumberFormat="1" applyFont="1" applyFill="1" applyBorder="1"/>
    <x:xf numFmtId="0" fontId="2" fillId="0" borderId="0" xfId="0" applyNumberFormat="1" applyFont="1" applyFill="1" applyBorder="1"/>
    <x:xf numFmtId="0" fontId="3" fillId="0" borderId="0" xfId="0" applyNumberFormat="1" applyFont="1" applyFill="1" applyBorder="1"/>
    <x:xf numFmtId="0" fontId="1" fillId="2" borderId="0" xfId="0" applyNumberFormat="1" applyFont="1" applyFill="1" applyBorder="1"/>
    <x:xf numFmtId="0" fontId="4" fillId="2" borderId="0" xfId="0" applyNumberFormat="1" applyFont="1" applyFill="1" applyBorder="1"/>
    <x:xf numFmtId="0" fontId="4" fillId="2" borderId="0" xfId="0" applyNumberFormat="1" applyFont="1" applyFill="1" applyBorder="1" applyAlignment="1">
      <x:alignment wrapText="1"/>
    </x:xf>
    <x:xf numFmtId="0" fontId="1" fillId="0" borderId="0" xfId="0" applyNumberFormat="1" applyFont="1" applyFill="1" applyBorder="1" applyAlignment="1">
      <x:alignment wrapText="1"/>
    </x:xf>
    <x:xf numFmtId="200" fontId="1" fillId="0" borderId="0" xfId="0" applyNumberFormat="1" applyFont="1" applyFill="1" applyBorder="1" applyAlignment="1">
      <x:alignment wrapText="1"/>
    </x:xf>
    <x:xf numFmtId="201" fontId="1" fillId="0" borderId="0" xfId="0" applyNumberFormat="1" applyFont="1" applyFill="1" applyBorder="1" applyAlignment="1">
      <x:alignment wrapText="1"/>
    </x:xf>
    <x:xf numFmtId="0" fontId="1" fillId="0" borderId="0" xfId="0" applyNumberFormat="1" applyFont="1" applyFill="1" applyBorder="1" applyAlignment="1">
      <x:alignment vertical="top" wrapText="1"/>
    </x:xf>
    <x:xf numFmtId="200" fontId="1" fillId="0" borderId="0" xfId="0" applyNumberFormat="1" applyFont="1" applyFill="1" applyBorder="1" applyAlignment="1">
      <x:alignment vertical="top" wrapText="1"/>
    </x:xf>
    <x:xf numFmtId="201" fontId="1" fillId="0" borderId="0" xfId="0" applyNumberFormat="1" applyFont="1" applyFill="1" applyBorder="1" applyAlignment="1">
      <x:alignment vertical="top" wrapText="1"/>
    </x:xf>
    <x:xf numFmtId="202" fontId="1" fillId="0" borderId="0" xfId="0" applyNumberFormat="1" applyFont="1" applyFill="1" applyBorder="1"/>
    <x:xf numFmtId="202" fontId="1" fillId="0" borderId="0" xfId="0" applyNumberFormat="1" applyFont="1" applyFill="1" applyBorder="1" applyAlignment="1">
      <x:alignment wrapText="1"/>
    </x:xf>
    <x:xf numFmtId="202" fontId="1" fillId="0" borderId="0" xfId="0" applyNumberFormat="1" applyFont="1" applyFill="1" applyBorder="1" applyAlignment="1">
      <x:alignment vertical="top" wrapText="1"/>
    </x:xf>
    <x:xf numFmtId="0" fontId="1" fillId="3" borderId="0" xfId="0" applyNumberFormat="1" applyFont="1" applyFill="1" applyBorder="1" applyAlignment="1">
      <x:alignment vertical="top" wrapText="1"/>
    </x:xf>
    <x:xf numFmtId="200" fontId="1" fillId="3" borderId="0" xfId="0" applyNumberFormat="1" applyFont="1" applyFill="1" applyBorder="1" applyAlignment="1">
      <x:alignment vertical="top" wrapText="1"/>
    </x:xf>
    <x:xf numFmtId="201" fontId="1" fillId="3" borderId="0" xfId="0" applyNumberFormat="1" applyFont="1" applyFill="1" applyBorder="1" applyAlignment="1">
      <x:alignment vertical="top" wrapText="1"/>
    </x:xf>
    <x:xf numFmtId="202" fontId="1" fillId="3" borderId="0" xfId="0" applyNumberFormat="1" applyFont="1" applyFill="1" applyBorder="1" applyAlignment="1">
      <x:alignment vertical="top" wrapText="1"/>
    </x:xf>
    <x:xf numFmtId="0" fontId="1" fillId="2" borderId="0" xfId="0" applyNumberFormat="1" applyFont="1" applyFill="1" applyBorder="1" applyAlignment="1">
      <x:alignment vertical="top" wrapText="1"/>
    </x:xf>
    <x:xf numFmtId="0" fontId="4" fillId="2" borderId="0" xfId="0" applyNumberFormat="1" applyFont="1" applyFill="1" applyBorder="1" applyAlignment="1">
      <x:alignment vertical="top" wrapText="1"/>
    </x:xf>
    <x:xf numFmtId="0" fontId="5" fillId="0" borderId="0" xfId="0" applyNumberFormat="1" applyFont="1" applyFill="1" applyBorder="1"/>
    <x:xf numFmtId="0" fontId="5" fillId="0" borderId="0" xfId="0" applyNumberFormat="1" applyFont="1" applyFill="1" applyBorder="1" applyAlignment="1">
      <x:alignment wrapText="1"/>
    </x:xf>
    <x:xf numFmtId="200" fontId="1" fillId="4" borderId="0" xfId="0" applyNumberFormat="1" applyFont="1" applyFill="1" applyBorder="1" applyAlignment="1">
      <x:alignment vertical="top" wrapText="1"/>
    </x:xf>
    <x:xf numFmtId="0" fontId="1" fillId="0" borderId="0" xfId="0" applyNumberFormat="1" applyFont="1" applyFill="1" applyBorder="1" applyAlignment="1">
      <x:alignment vertical="center" wrapText="1"/>
    </x:xf>
    <x:xf numFmtId="0" fontId="1" fillId="5" borderId="0" xfId="0" applyNumberFormat="1" applyFont="1" applyFill="1" applyBorder="1" applyAlignment="1">
      <x:alignment wrapText="1"/>
    </x:xf>
    <x:xf numFmtId="0" fontId="4" fillId="5" borderId="0" xfId="0" applyNumberFormat="1" applyFont="1" applyFill="1" applyBorder="1" applyAlignment="1">
      <x:alignment wrapText="1"/>
    </x:xf>
    <x:xf numFmtId="203" fontId="1" fillId="0" borderId="0" xfId="0" applyNumberFormat="1" applyFont="1" applyFill="1" applyBorder="1" applyAlignment="1">
      <x:alignment vertical="center" wrapText="1"/>
    </x:xf>
    <x:xf numFmtId="201" fontId="1" fillId="0" borderId="0" xfId="0" applyNumberFormat="1" applyFont="1" applyFill="1" applyBorder="1" applyAlignment="1">
      <x:alignment vertical="center" wrapText="1"/>
    </x:xf>
    <x:xf numFmtId="203" fontId="1" fillId="6" borderId="0" xfId="0" applyNumberFormat="1" applyFont="1" applyFill="1" applyBorder="1" applyAlignment="1">
      <x:alignment vertical="center" wrapText="1"/>
    </x:xf>
    <x:xf numFmtId="201" fontId="1" fillId="6" borderId="0" xfId="0" applyNumberFormat="1" applyFont="1" applyFill="1" applyBorder="1" applyAlignment="1">
      <x:alignment vertical="center" wrapText="1"/>
    </x:xf>
    <x:xf numFmtId="0" fontId="1" fillId="6" borderId="0" xfId="0" applyNumberFormat="1" applyFont="1" applyFill="1" applyBorder="1" applyAlignment="1">
      <x:alignment vertical="center" wrapText="1"/>
    </x:xf>
    <x:xf numFmtId="0" fontId="6" fillId="0" borderId="0" xfId="0" applyNumberFormat="1" applyFont="1" applyFill="1" applyBorder="1"/>
    <x:xf numFmtId="0" fontId="5" fillId="5" borderId="0" xfId="0" applyNumberFormat="1" applyFont="1" applyFill="1" applyBorder="1"/>
    <x:xf numFmtId="0" fontId="4" fillId="5" borderId="0" xfId="0" applyNumberFormat="1" applyFont="1" applyFill="1" applyBorder="1"/>
    <x:xf numFmtId="203" fontId="5" fillId="0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203" fontId="0" fillId="0" borderId="0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826b4386b0d74138" /><Relationship Type="http://schemas.openxmlformats.org/officeDocument/2006/relationships/theme" Target="/xl/theme/theme1.xml" Id="Rb632d0c1e825483a" /><Relationship Type="http://schemas.openxmlformats.org/officeDocument/2006/relationships/sharedStrings" Target="/xl/sharedStrings.xml" Id="R9ba3bbee6e124428" /><Relationship Type="http://schemas.openxmlformats.org/officeDocument/2006/relationships/worksheet" Target="/xl/worksheets/sheet1.xml" Id="R7feecfa15373464f" /><Relationship Type="http://schemas.openxmlformats.org/officeDocument/2006/relationships/worksheet" Target="/xl/worksheets/sheet2.xml" Id="R0529154bb008459b" /><Relationship Type="http://schemas.openxmlformats.org/officeDocument/2006/relationships/worksheet" Target="/xl/worksheets/sheet3.xml" Id="Rb8268deed20e4124" /><Relationship Type="http://schemas.openxmlformats.org/officeDocument/2006/relationships/worksheet" Target="/xl/worksheets/sheet4.xml" Id="Re450a372e54c4d00" /><Relationship Type="http://schemas.openxmlformats.org/officeDocument/2006/relationships/worksheet" Target="/xl/worksheets/sheet5.xml" Id="R769584923a9845aa" /><Relationship Type="http://schemas.openxmlformats.org/officeDocument/2006/relationships/worksheet" Target="/xl/worksheets/sheet6.xml" Id="R0359099b6b2041b8" /></Relationships>
</file>

<file path=xl/tables/table1.xml><?xml version="1.0" encoding="utf-8"?>
<x:table xmlns:x="http://schemas.openxmlformats.org/spreadsheetml/2006/main" id="1" name="ActividadesPAC" displayName="ActividadesPAC" ref="A5:R104" headerRowCount="1" totalsRowCount="0" totalsRowShown="0">
  <x:tableColumns count="18">
    <x:tableColumn id="1" name="ID único"/>
    <x:tableColumn id="2" name="Componente"/>
    <x:tableColumn id="3" name="Entregable"/>
    <x:tableColumn id="4" name="Código actividad"/>
    <x:tableColumn id="5" name="Tipo / etapa"/>
    <x:tableColumn id="6" name="Actividad"/>
    <x:tableColumn id="7" name="Responsables propuestos"/>
    <x:tableColumn id="8" name="Apoyos propuestos"/>
    <x:tableColumn id="9" name="Peso en entregable"/>
    <x:tableColumn id="10" name="Avance acumulado"/>
    <x:tableColumn id="11" name="Aporte al entregable"/>
    <x:tableColumn id="12" name="Fecha actualización"/>
    <x:tableColumn id="13" name="Evidencia / enlace"/>
    <x:tableColumn id="14" name="Resultado reportado"/>
    <x:tableColumn id="15" name="Tareas vinculadas"/>
    <x:tableColumn id="16" name="Referencia original"/>
    <x:tableColumn id="17" name="Criterios de evidencia de referencia"/>
    <x:tableColumn id="18" name="Observación de correspondencia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3" name="EntregablesPAC" displayName="EntregablesPAC" ref="A5:J23" headerRowCount="1" totalsRowCount="0" totalsRowShown="0">
  <x:tableColumns count="10">
    <x:tableColumn id="1" name="Componente"/>
    <x:tableColumn id="2" name="Entregable"/>
    <x:tableColumn id="3" name="Nombre entregable"/>
    <x:tableColumn id="4" name="Peso en componente"/>
    <x:tableColumn id="5" name="Suma pesos actividades"/>
    <x:tableColumn id="6" name="Actividades sin avance"/>
    <x:tableColumn id="7" name="Avance entregable"/>
    <x:tableColumn id="8" name="Aporte al componente"/>
    <x:tableColumn id="9" name="Estado del reporte"/>
    <x:tableColumn id="10" name="Nombre componente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2" name="TareasPAC" displayName="TareasPAC" ref="A5:L24" headerRowCount="1" totalsRowCount="0" totalsRowShown="0">
  <x:tableColumns count="12">
    <x:tableColumn id="1" name="ID tarea"/>
    <x:tableColumn id="2" name="Actividad relacionada"/>
    <x:tableColumn id="3" name="Tarea / compromiso"/>
    <x:tableColumn id="4" name="Responsable"/>
    <x:tableColumn id="5" name="Fecha compromiso"/>
    <x:tableColumn id="6" name="Estado"/>
    <x:tableColumn id="7" name="Avance de la tarea"/>
    <x:tableColumn id="8" name="Evidencia / enlace"/>
    <x:tableColumn id="9" name="Resultado reportado"/>
    <x:tableColumn id="10" name="Acta de origen"/>
    <x:tableColumn id="11" name="Origen documental"/>
    <x:tableColumn id="12" name="Tipo de pendiente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PersonasPAC" displayName="PersonasPAC" ref="A5:P325" headerRowCount="1" totalsRowCount="0" totalsRowShown="0">
  <x:tableColumns count="16">
    <x:tableColumn id="1" name="Actividad relacionada"/>
    <x:tableColumn id="2" name="Componente"/>
    <x:tableColumn id="3" name="Entregable"/>
    <x:tableColumn id="4" name="Código actividad"/>
    <x:tableColumn id="5" name="Persona / equipo"/>
    <x:tableColumn id="6" name="Rol"/>
    <x:tableColumn id="7" name="Peso en actividad"/>
    <x:tableColumn id="8" name="Peso actividad en entregable"/>
    <x:tableColumn id="9" name="Peso persona en entregable"/>
    <x:tableColumn id="10" name="Avance individual"/>
    <x:tableColumn id="11" name="Aporte a actividad"/>
    <x:tableColumn id="12" name="Aporte a entregable"/>
    <x:tableColumn id="13" name="Fecha de reporte"/>
    <x:tableColumn id="14" name="Evidencia / enlace"/>
    <x:tableColumn id="15" name="Resultado reportado"/>
    <x:tableColumn id="16" name="Sin reporte (1 = sí)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ResumenPersonasPAC" displayName="ResumenPersonasPAC" ref="A5:D184" headerRowCount="1" totalsRowCount="0" totalsRowShown="0">
  <x:tableColumns count="4">
    <x:tableColumn id="1" name="Componente"/>
    <x:tableColumn id="2" name="Entregable"/>
    <x:tableColumn id="3" name="Persona / equipo"/>
    <x:tableColumn id="4" name="Peso en entregable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3dcc967603614855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2.xml" Id="R384a0346ad1e4353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3.xml" Id="R18ff6c7059d541d7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bf37a7f603a54e98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417d1517eea64c5b" /></Relationships>
</file>

<file path=xl/worksheets/sheet1.xml><?xml version="1.0" encoding="utf-8"?>
<x:worksheet xmlns:x="http://schemas.openxmlformats.org/spreadsheetml/2006/main">
  <x:sheetPr>
    <x:tabColor rgb="FF243D57"/>
  </x:sheetPr>
  <x:sheetViews>
    <x:sheetView showGridLines="0" workbookViewId="0">
      <x:pane ySplit="5" topLeftCell="A6" activePane="bottomLeft" state="frozen"/>
    </x:sheetView>
  </x:sheetViews>
  <x:sheetFormatPr defaultRowHeight="15"/>
  <x:cols>
    <x:col min="1" max="1" width="21" hidden="0" customWidth="1"/>
    <x:col min="2" max="2" width="13" hidden="0" customWidth="1"/>
    <x:col min="3" max="3" width="13" hidden="0" customWidth="1"/>
    <x:col min="4" max="4" width="17" hidden="0" customWidth="1"/>
    <x:col min="5" max="5" width="22" hidden="0" customWidth="1"/>
    <x:col min="6" max="6" width="80" hidden="0" customWidth="1"/>
    <x:col min="7" max="7" width="39" hidden="0" customWidth="1"/>
    <x:col min="8" max="8" width="36" hidden="0" customWidth="1"/>
    <x:col min="9" max="9" width="15" hidden="0" customWidth="1"/>
    <x:col min="10" max="10" width="15" hidden="0" customWidth="1"/>
    <x:col min="11" max="11" width="16" hidden="0" customWidth="1"/>
    <x:col min="12" max="12" width="17" hidden="0" customWidth="1"/>
    <x:col min="13" max="13" width="34" hidden="0" customWidth="1"/>
    <x:col min="14" max="14" width="42" hidden="0" customWidth="1"/>
    <x:col min="15" max="15" width="14" hidden="0" customWidth="1"/>
    <x:col min="16" max="16" width="30" hidden="0" customWidth="1"/>
    <x:col min="17" max="17" width="65" hidden="0" customWidth="1"/>
    <x:col min="18" max="18" width="55" hidden="0" customWidth="1"/>
    <x:col min="19" max="19" width="19" hidden="0" customWidth="1"/>
    <x:col min="20" max="20" width="22" hidden="0" customWidth="1"/>
  </x:cols>
  <x:sheetData>
    <x:row r="1">
      <x:c r="A1" s="4"/>
      <x:c r="B1" s="4"/>
      <x:c r="C1" s="4"/>
      <x:c r="D1" s="4"/>
      <x:c r="E1" s="4"/>
      <x:c r="F1" s="4"/>
      <x:c r="G1" s="4"/>
      <x:c r="H1" s="4"/>
      <x:c r="I1" s="4"/>
      <x:c r="J1" s="4"/>
      <x:c r="K1" s="4"/>
      <x:c r="L1" s="4"/>
      <x:c r="M1" s="4"/>
      <x:c r="N1" s="4"/>
      <x:c r="O1" s="4"/>
      <x:c r="P1" s="4"/>
      <x:c r="Q1" s="4"/>
      <x:c r="R1" s="4"/>
    </x:row>
    <x:row r="2">
      <x:c r="A2" s="7" t="str">
        <x:v>Actividades del PAC</x:v>
      </x:c>
      <x:c r="B2" s="4"/>
      <x:c r="C2" s="4"/>
      <x:c r="D2" s="4"/>
      <x:c r="E2" s="4"/>
      <x:c r="F2" s="4"/>
      <x:c r="G2" s="4"/>
      <x:c r="H2" s="4"/>
      <x:c r="I2" s="4"/>
      <x:c r="J2" s="4"/>
      <x:c r="K2" s="4"/>
      <x:c r="L2" s="4"/>
      <x:c r="M2" s="4"/>
      <x:c r="N2" s="4"/>
      <x:c r="O2" s="4"/>
      <x:c r="P2" s="4"/>
      <x:c r="Q2" s="4"/>
      <x:c r="R2" s="4"/>
    </x:row>
    <x:row r="3">
      <x:c r="A3" s="8" t="str">
        <x:v>Cada actividad se calcula con los avances individuales y pesos de la hoja Asignaciones.</x:v>
      </x:c>
      <x:c r="B3" s="4"/>
      <x:c r="C3" s="4"/>
      <x:c r="D3" s="4"/>
      <x:c r="E3" s="4"/>
      <x:c r="F3" s="4"/>
      <x:c r="G3" s="4"/>
      <x:c r="H3" s="4"/>
      <x:c r="I3" s="4"/>
      <x:c r="J3" s="4"/>
      <x:c r="K3" s="4"/>
      <x:c r="L3" s="4"/>
      <x:c r="M3" s="4"/>
      <x:c r="N3" s="4"/>
      <x:c r="O3" s="4"/>
      <x:c r="P3" s="4"/>
      <x:c r="Q3" s="4"/>
      <x:c r="R3" s="4"/>
    </x:row>
    <x:row r="4">
      <x:c r="A4" s="4"/>
      <x:c r="B4" s="4"/>
      <x:c r="C4" s="4"/>
      <x:c r="D4" s="4"/>
      <x:c r="E4" s="4"/>
      <x:c r="F4" s="4"/>
      <x:c r="G4" s="4"/>
      <x:c r="H4" s="4"/>
      <x:c r="I4" s="4"/>
      <x:c r="J4" s="4"/>
      <x:c r="K4" s="4"/>
      <x:c r="L4" s="4"/>
      <x:c r="M4" s="4"/>
      <x:c r="N4" s="4"/>
      <x:c r="O4" s="4"/>
      <x:c r="P4" s="4"/>
      <x:c r="Q4" s="4"/>
      <x:c r="R4" s="4"/>
    </x:row>
    <x:row r="5" ht="60" customHeight="1">
      <x:c r="A5" s="11" t="str">
        <x:v>ID único</x:v>
      </x:c>
      <x:c r="B5" s="11" t="str">
        <x:v>Componente</x:v>
      </x:c>
      <x:c r="C5" s="11" t="str">
        <x:v>Entregable</x:v>
      </x:c>
      <x:c r="D5" s="11" t="str">
        <x:v>Código actividad</x:v>
      </x:c>
      <x:c r="E5" s="11" t="str">
        <x:v>Tipo / etapa</x:v>
      </x:c>
      <x:c r="F5" s="11" t="str">
        <x:v>Actividad</x:v>
      </x:c>
      <x:c r="G5" s="11" t="str">
        <x:v>Equipo asignado</x:v>
      </x:c>
      <x:c r="H5" s="11" t="str">
        <x:v>Detalle de asignaciones</x:v>
      </x:c>
      <x:c r="I5" s="11" t="str">
        <x:v>Peso en entregable</x:v>
      </x:c>
      <x:c r="J5" s="11" t="str">
        <x:v>Avance ponderado del equipo</x:v>
      </x:c>
      <x:c r="K5" s="11" t="str">
        <x:v>Aporte al entregable</x:v>
      </x:c>
      <x:c r="L5" s="11" t="str">
        <x:v>Fecha actualización</x:v>
      </x:c>
      <x:c r="M5" s="11" t="str">
        <x:v>Evidencia / enlace</x:v>
      </x:c>
      <x:c r="N5" s="11" t="str">
        <x:v>Resultado reportado</x:v>
      </x:c>
      <x:c r="O5" s="11" t="str">
        <x:v>Tareas vinculadas</x:v>
      </x:c>
      <x:c r="P5" s="11" t="str">
        <x:v>Referencia original</x:v>
      </x:c>
      <x:c r="Q5" s="11" t="str">
        <x:v>Criterios de evidencia de referencia</x:v>
      </x:c>
      <x:c r="R5" s="11" t="str">
        <x:v>Observación de correspondencia</x:v>
      </x:c>
      <x:c r="S5" s="28" t="str">
        <x:v>Sin reporte (1 = sí)</x:v>
      </x:c>
      <x:c r="T5" s="42" t="str">
        <x:v>Suma pesos personas</x:v>
      </x:c>
    </x:row>
    <x:row r="6" ht="72" customHeight="1">
      <x:c r="A6" s="15" t="str">
        <x:v>P1 / C1-A4</x:v>
      </x:c>
      <x:c r="B6" s="15" t="str">
        <x:v>C1</x:v>
      </x:c>
      <x:c r="C6" s="15" t="str">
        <x:v>P1</x:v>
      </x:c>
      <x:c r="D6" s="15" t="str">
        <x:v>C1-A4</x:v>
      </x:c>
      <x:c r="E6" s="15" t="str">
        <x:v>Contractual</x:v>
      </x:c>
      <x:c r="F6" s="15" t="str">
        <x:v>Caracterización socioeconómica del territorio con enfoque diferencial, de equidad y justicia climática que permita la identificación y priorización de comunidades, grupos poblacionales y/o sectores más vulnerables ante las amenazas identificadas.</x:v>
      </x:c>
      <x:c r="G6" s="21" t="str">
        <x:v>Marcos Arango Tamayo; Sebastián Cartagena; Juliana Valencia; Paola Andrea Ruiz Franco</x:v>
      </x:c>
      <x:c r="H6" s="21" t="str">
        <x:v>Personas desagregadas y ponderadas en Asignaciones</x:v>
      </x:c>
      <x:c r="I6" s="22" t="n">
        <x:v>0.4675</x:v>
      </x:c>
      <x:c r="J6" s="29" t="str">
        <x:f>IF(SUMIFS(Asignaciones!$P$6:$P$325,Asignaciones!$A$6:$A$325,A6)&gt;0,"",SUMIFS(Asignaciones!$K$6:$K$325,Asignaciones!$A$6:$A$325,A6))</x:f>
      </x:c>
      <x:c r="K6" s="16" t="str">
        <x:f>IF(ISNUMBER(J6),I6*J6,"")</x:f>
      </x:c>
      <x:c r="L6" s="23"/>
      <x:c r="M6" s="21"/>
      <x:c r="N6" s="21"/>
      <x:c r="O6" s="15" t="n">
        <x:f>COUNTIFS(Tareas!$B$6:$B$1005,A6)</x:f>
        <x:v>4</x:v>
      </x:c>
      <x:c r="P6" s="15" t="str">
        <x:v>P1-A01; P1-A04; P1-A06</x:v>
      </x:c>
      <x:c r="Q6" s="15" t="str">
        <x:v>Matriz de fuentes e insumos con vacíos identificados
Sección socioeconómica y matriz de población vulnerable
Borrador técnico completo de P1</x:v>
      </x:c>
      <x:c r="R6" s="15" t="str">
        <x:v>Propuesta por correspondencia temática. Validar responsables y alcance dentro del entregable.</x:v>
      </x:c>
      <x:c r="S6" s="27" t="n">
        <x:f>IF(ISNUMBER(J6),0,1)</x:f>
        <x:v>1</x:v>
      </x:c>
      <x:c r="T6" s="43" t="n">
        <x:f>SUMIFS(Asignaciones!$G$6:$G$325,Asignaciones!$A$6:$A$325,A6)</x:f>
        <x:v>1</x:v>
      </x:c>
    </x:row>
    <x:row r="7" ht="87" customHeight="1">
      <x:c r="A7" s="15" t="str">
        <x:v>P1 / C1-A5</x:v>
      </x:c>
      <x:c r="B7" s="15" t="str">
        <x:v>C1</x:v>
      </x:c>
      <x:c r="C7" s="15" t="str">
        <x:v>P1</x:v>
      </x:c>
      <x:c r="D7" s="15" t="str">
        <x:v>C1-A5</x:v>
      </x:c>
      <x:c r="E7" s="15" t="str">
        <x:v>Contractual</x:v>
      </x:c>
      <x:c r="F7" s="15" t="str">
        <x:v>Descripción de factores estructurales que condicionan la vulnerabilidad y la capacidad adaptativa del Distrito.</x:v>
      </x:c>
      <x:c r="G7" s="21" t="str">
        <x:v>Juliana Valencia; Jeiner de Jesús Castellanos Barliza; Marcos Arango Tamayo; Vanessa García Leoz; Harlem Acevedo Agudelo; Paola Andrea Ruiz Franco</x:v>
      </x:c>
      <x:c r="H7" s="21" t="str">
        <x:v>Personas desagregadas y ponderadas en Asignaciones</x:v>
      </x:c>
      <x:c r="I7" s="22" t="n">
        <x:v>0.3825</x:v>
      </x:c>
      <x:c r="J7" s="29" t="str">
        <x:f>IF(SUMIFS(Asignaciones!$P$6:$P$325,Asignaciones!$A$6:$A$325,A7)&gt;0,"",SUMIFS(Asignaciones!$K$6:$K$325,Asignaciones!$A$6:$A$325,A7))</x:f>
      </x:c>
      <x:c r="K7" s="16" t="str">
        <x:f>IF(ISNUMBER(J7),I7*J7,"")</x:f>
      </x:c>
      <x:c r="L7" s="23"/>
      <x:c r="M7" s="21"/>
      <x:c r="N7" s="21"/>
      <x:c r="O7" s="15" t="n">
        <x:f>COUNTIFS(Tareas!$B$6:$B$1005,A7)</x:f>
        <x:v>4</x:v>
      </x:c>
      <x:c r="P7" s="15" t="str">
        <x:v>P1-A02; P1-A03; P1-A05</x:v>
      </x:c>
      <x:c r="Q7" s="15" t="str">
        <x:v>Memoria técnica, tablas y gráficos de emisiones
Sección técnica integrada y matriz de hallazgos
Mapas, capas y síntesis territorial</x:v>
      </x:c>
      <x:c r="R7" s="15" t="str">
        <x:v>Propuesta por correspondencia temática. Validar responsables y alcance dentro del entregable.</x:v>
      </x:c>
      <x:c r="S7" s="27" t="n">
        <x:f>IF(ISNUMBER(J7),0,1)</x:f>
        <x:v>1</x:v>
      </x:c>
      <x:c r="T7" s="43" t="n">
        <x:f>SUMIFS(Asignaciones!$G$6:$G$325,Asignaciones!$A$6:$A$325,A7)</x:f>
        <x:v>0.9999999999999999</x:v>
      </x:c>
    </x:row>
    <x:row r="8" ht="42" customHeight="1">
      <x:c r="A8" s="15" t="str">
        <x:v>P1 / R01</x:v>
      </x:c>
      <x:c r="B8" s="15" t="str">
        <x:v>C1</x:v>
      </x:c>
      <x:c r="C8" s="15" t="str">
        <x:v>P1</x:v>
      </x:c>
      <x:c r="D8" s="15" t="str">
        <x:v>R01</x:v>
      </x:c>
      <x:c r="E8" s="15" t="str">
        <x:v>Revisión y aval</x:v>
      </x:c>
      <x:c r="F8" s="15" t="str">
        <x:v>Revisar integralmente la calidad técnica, coherencia, trazabilidad contractual y suficiencia del entregable</x:v>
      </x:c>
      <x:c r="G8" s="21" t="str">
        <x:v>Guillermo Penagos; María José Suárez</x:v>
      </x:c>
      <x:c r="H8" s="21" t="str">
        <x:v>Personas desagregadas y ponderadas en Asignaciones</x:v>
      </x:c>
      <x:c r="I8" s="22" t="n">
        <x:v>0.1</x:v>
      </x:c>
      <x:c r="J8" s="29" t="str">
        <x:f>IF(SUMIFS(Asignaciones!$P$6:$P$325,Asignaciones!$A$6:$A$325,A8)&gt;0,"",SUMIFS(Asignaciones!$K$6:$K$325,Asignaciones!$A$6:$A$325,A8))</x:f>
      </x:c>
      <x:c r="K8" s="16" t="str">
        <x:f>IF(ISNUMBER(J8),I8*J8,"")</x:f>
      </x:c>
      <x:c r="L8" s="23"/>
      <x:c r="M8" s="21"/>
      <x:c r="N8" s="21"/>
      <x:c r="O8" s="15" t="n">
        <x:f>COUNTIFS(Tareas!$B$6:$B$1005,A8)</x:f>
        <x:v>0</x:v>
      </x:c>
      <x:c r="P8" s="15" t="str">
        <x:v>P1-R01</x:v>
      </x:c>
      <x:c r="Q8" s="15" t="str">
        <x:v>Concepto consolidado de revisión y aval</x:v>
      </x:c>
      <x:c r="R8" s="15" t="str">
        <x:v>Etapa de revisión del original. No es actividad contractual adicional.</x:v>
      </x:c>
      <x:c r="S8" s="27" t="n">
        <x:f>IF(ISNUMBER(J8),0,1)</x:f>
        <x:v>1</x:v>
      </x:c>
      <x:c r="T8" s="43" t="n">
        <x:f>SUMIFS(Asignaciones!$G$6:$G$325,Asignaciones!$A$6:$A$325,A8)</x:f>
        <x:v>1</x:v>
      </x:c>
    </x:row>
    <x:row r="9" ht="42" customHeight="1">
      <x:c r="A9" s="15" t="str">
        <x:v>P1 / R02</x:v>
      </x:c>
      <x:c r="B9" s="15" t="str">
        <x:v>C1</x:v>
      </x:c>
      <x:c r="C9" s="15" t="str">
        <x:v>P1</x:v>
      </x:c>
      <x:c r="D9" s="15" t="str">
        <x:v>R02</x:v>
      </x:c>
      <x:c r="E9" s="15" t="str">
        <x:v>Revisión final Secretaría</x:v>
      </x:c>
      <x:c r="F9" s="15" t="str">
        <x:v>Realizar la revisión final institucional y emitir observaciones o conformidad para el cierre del entregable</x:v>
      </x:c>
      <x:c r="G9" s="21" t="str">
        <x:v>Juana — Secretaría de Medio Ambiente</x:v>
      </x:c>
      <x:c r="H9" s="21" t="str">
        <x:v>Personas desagregadas y ponderadas en Asignaciones</x:v>
      </x:c>
      <x:c r="I9" s="22" t="n">
        <x:v>0.05</x:v>
      </x:c>
      <x:c r="J9" s="29" t="str">
        <x:f>IF(SUMIFS(Asignaciones!$P$6:$P$325,Asignaciones!$A$6:$A$325,A9)&gt;0,"",SUMIFS(Asignaciones!$K$6:$K$325,Asignaciones!$A$6:$A$325,A9))</x:f>
      </x:c>
      <x:c r="K9" s="16" t="str">
        <x:f>IF(ISNUMBER(J9),I9*J9,"")</x:f>
      </x:c>
      <x:c r="L9" s="23"/>
      <x:c r="M9" s="21"/>
      <x:c r="N9" s="21"/>
      <x:c r="O9" s="15" t="n">
        <x:f>COUNTIFS(Tareas!$B$6:$B$1005,A9)</x:f>
        <x:v>0</x:v>
      </x:c>
      <x:c r="P9" s="15" t="str">
        <x:v>P1-R02</x:v>
      </x:c>
      <x:c r="Q9" s="15" t="str">
        <x:v>Concepto u observaciones finales de la Secretaría</x:v>
      </x:c>
      <x:c r="R9" s="15" t="str">
        <x:v>Etapa de revisión del original. No es actividad contractual adicional.</x:v>
      </x:c>
      <x:c r="S9" s="27" t="n">
        <x:f>IF(ISNUMBER(J9),0,1)</x:f>
        <x:v>1</x:v>
      </x:c>
      <x:c r="T9" s="43" t="n">
        <x:f>SUMIFS(Asignaciones!$G$6:$G$325,Asignaciones!$A$6:$A$325,A9)</x:f>
        <x:v>1</x:v>
      </x:c>
    </x:row>
    <x:row r="10" ht="57" customHeight="1">
      <x:c r="A10" s="15" t="str">
        <x:v>P2 / C1-A1</x:v>
      </x:c>
      <x:c r="B10" s="15" t="str">
        <x:v>C1</x:v>
      </x:c>
      <x:c r="C10" s="15" t="str">
        <x:v>P2</x:v>
      </x:c>
      <x:c r="D10" s="15" t="str">
        <x:v>C1-A1</x:v>
      </x:c>
      <x:c r="E10" s="15" t="str">
        <x:v>Contractual</x:v>
      </x:c>
      <x:c r="F10" s="15" t="str">
        <x:v>Consolidación y análisis de la serie histórica de inventarios de emisiones de GEI con base en información suministrada por la Secretaría de Medio Ambiente.</x:v>
      </x:c>
      <x:c r="G10" s="21" t="str">
        <x:v>Juliana Valencia; Marcos Arango Tamayo; Sebastián Cartagena; Paola Andrea Ruiz Franco</x:v>
      </x:c>
      <x:c r="H10" s="21" t="str">
        <x:v>Personas desagregadas y ponderadas en Asignaciones</x:v>
      </x:c>
      <x:c r="I10" s="22" t="n">
        <x:v>0.255</x:v>
      </x:c>
      <x:c r="J10" s="29" t="str">
        <x:f>IF(SUMIFS(Asignaciones!$P$6:$P$325,Asignaciones!$A$6:$A$325,A10)&gt;0,"",SUMIFS(Asignaciones!$K$6:$K$325,Asignaciones!$A$6:$A$325,A10))</x:f>
      </x:c>
      <x:c r="K10" s="16" t="str">
        <x:f>IF(ISNUMBER(J10),I10*J10,"")</x:f>
      </x:c>
      <x:c r="L10" s="23"/>
      <x:c r="M10" s="21"/>
      <x:c r="N10" s="21"/>
      <x:c r="O10" s="15" t="n">
        <x:f>COUNTIFS(Tareas!$B$6:$B$1005,A10)</x:f>
        <x:v>5</x:v>
      </x:c>
      <x:c r="P10" s="15" t="str">
        <x:v>P2-A01; P2-A02</x:v>
      </x:c>
      <x:c r="Q10" s="15" t="str">
        <x:v>Lista de chequeo y matriz de vacíos
Síntesis de evidencia y escenarios</x:v>
      </x:c>
      <x:c r="R10" s="15" t="str">
        <x:v>Propuesta por correspondencia temática. Validar responsables y alcance dentro del entregable.</x:v>
      </x:c>
      <x:c r="S10" s="27" t="n">
        <x:f>IF(ISNUMBER(J10),0,1)</x:f>
        <x:v>1</x:v>
      </x:c>
      <x:c r="T10" s="43" t="n">
        <x:f>SUMIFS(Asignaciones!$G$6:$G$325,Asignaciones!$A$6:$A$325,A10)</x:f>
        <x:v>1</x:v>
      </x:c>
    </x:row>
    <x:row r="11" ht="72" customHeight="1">
      <x:c r="A11" s="15" t="str">
        <x:v>P2 / C1-A2</x:v>
      </x:c>
      <x:c r="B11" s="15" t="str">
        <x:v>C1</x:v>
      </x:c>
      <x:c r="C11" s="15" t="str">
        <x:v>P2</x:v>
      </x:c>
      <x:c r="D11" s="15" t="str">
        <x:v>C1-A2</x:v>
      </x:c>
      <x:c r="E11" s="15" t="str">
        <x:v>Contractual</x:v>
      </x:c>
      <x:c r="F11" s="15" t="str">
        <x:v>Consolidación y análisis de las trayectorias de emisiones al 2030, 2040 y 2050, considerando entre otros insumos los resultados del soporte técnico proporcionado por parte del Grupo de Liderazgo Climático de Ciudades C40.</x:v>
      </x:c>
      <x:c r="G11" s="21" t="str">
        <x:v>Juliana Valencia; Marcos Arango Tamayo; Sebastián Cartagena; Paola Andrea Ruiz Franco</x:v>
      </x:c>
      <x:c r="H11" s="21" t="str">
        <x:v>Personas desagregadas y ponderadas en Asignaciones</x:v>
      </x:c>
      <x:c r="I11" s="22" t="n">
        <x:v>0.34</x:v>
      </x:c>
      <x:c r="J11" s="29" t="str">
        <x:f>IF(SUMIFS(Asignaciones!$P$6:$P$325,Asignaciones!$A$6:$A$325,A11)&gt;0,"",SUMIFS(Asignaciones!$K$6:$K$325,Asignaciones!$A$6:$A$325,A11))</x:f>
      </x:c>
      <x:c r="K11" s="16" t="str">
        <x:f>IF(ISNUMBER(J11),I11*J11,"")</x:f>
      </x:c>
      <x:c r="L11" s="23"/>
      <x:c r="M11" s="21"/>
      <x:c r="N11" s="21"/>
      <x:c r="O11" s="15" t="n">
        <x:f>COUNTIFS(Tareas!$B$6:$B$1005,A11)</x:f>
        <x:v>5</x:v>
      </x:c>
      <x:c r="P11" s="15" t="str">
        <x:v>P2-A02; P2-A04; P2-A05</x:v>
      </x:c>
      <x:c r="Q11" s="15" t="str">
        <x:v>Síntesis de evidencia y escenarios
Escenarios y conclusiones prospectivas
Borrador técnico completo de P2</x:v>
      </x:c>
      <x:c r="R11" s="15" t="str">
        <x:v>Propuesta por correspondencia temática. Validar responsables y alcance dentro del entregable.</x:v>
      </x:c>
      <x:c r="S11" s="27" t="n">
        <x:f>IF(ISNUMBER(J11),0,1)</x:f>
        <x:v>1</x:v>
      </x:c>
      <x:c r="T11" s="43" t="n">
        <x:f>SUMIFS(Asignaciones!$G$6:$G$325,Asignaciones!$A$6:$A$325,A11)</x:f>
        <x:v>1</x:v>
      </x:c>
    </x:row>
    <x:row r="12" ht="72" customHeight="1">
      <x:c r="A12" s="15" t="str">
        <x:v>P2 / C1-A3</x:v>
      </x:c>
      <x:c r="B12" s="15" t="str">
        <x:v>C1</x:v>
      </x:c>
      <x:c r="C12" s="15" t="str">
        <x:v>P2</x:v>
      </x:c>
      <x:c r="D12" s="15" t="str">
        <x:v>C1-A3</x:v>
      </x:c>
      <x:c r="E12" s="15" t="str">
        <x:v>Contractual</x:v>
      </x:c>
      <x:c r="F12" s="15" t="str">
        <x:v>Integración de los resultados de la Evaluación de Riesgos Climáticos actualizada.</x:v>
      </x:c>
      <x:c r="G12" s="21" t="str">
        <x:v>Vanessa García Leoz; Jeiner de Jesús Castellanos Barliza; Harlem Acevedo Agudelo; Paola Andrea Ruiz Franco</x:v>
      </x:c>
      <x:c r="H12" s="21" t="str">
        <x:v>Personas desagregadas y ponderadas en Asignaciones</x:v>
      </x:c>
      <x:c r="I12" s="22" t="n">
        <x:v>0.255</x:v>
      </x:c>
      <x:c r="J12" s="29" t="str">
        <x:f>IF(SUMIFS(Asignaciones!$P$6:$P$325,Asignaciones!$A$6:$A$325,A12)&gt;0,"",SUMIFS(Asignaciones!$K$6:$K$325,Asignaciones!$A$6:$A$325,A12))</x:f>
      </x:c>
      <x:c r="K12" s="16" t="str">
        <x:f>IF(ISNUMBER(J12),I12*J12,"")</x:f>
      </x:c>
      <x:c r="L12" s="23"/>
      <x:c r="M12" s="21"/>
      <x:c r="N12" s="21"/>
      <x:c r="O12" s="15" t="n">
        <x:f>COUNTIFS(Tareas!$B$6:$B$1005,A12)</x:f>
        <x:v>1</x:v>
      </x:c>
      <x:c r="P12" s="15" t="str">
        <x:v>P2-A03</x:v>
      </x:c>
      <x:c r="Q12" s="15" t="str">
        <x:v>Síntesis de vulnerabilidad y adaptación</x:v>
      </x:c>
      <x:c r="R12" s="15" t="str">
        <x:v>Propuesta por correspondencia temática. Validar responsables y alcance dentro del entregable.</x:v>
      </x:c>
      <x:c r="S12" s="27" t="n">
        <x:f>IF(ISNUMBER(J12),0,1)</x:f>
        <x:v>1</x:v>
      </x:c>
      <x:c r="T12" s="43" t="n">
        <x:f>SUMIFS(Asignaciones!$G$6:$G$325,Asignaciones!$A$6:$A$325,A12)</x:f>
        <x:v>1</x:v>
      </x:c>
    </x:row>
    <x:row r="13" ht="42" customHeight="1">
      <x:c r="A13" s="15" t="str">
        <x:v>P2 / R01</x:v>
      </x:c>
      <x:c r="B13" s="15" t="str">
        <x:v>C1</x:v>
      </x:c>
      <x:c r="C13" s="15" t="str">
        <x:v>P2</x:v>
      </x:c>
      <x:c r="D13" s="15" t="str">
        <x:v>R01</x:v>
      </x:c>
      <x:c r="E13" s="15" t="str">
        <x:v>Revisión y aval</x:v>
      </x:c>
      <x:c r="F13" s="15" t="str">
        <x:v>Revisar integralmente la calidad técnica, coherencia, trazabilidad contractual y suficiencia del entregable</x:v>
      </x:c>
      <x:c r="G13" s="21" t="str">
        <x:v>Guillermo Penagos; María José Suárez</x:v>
      </x:c>
      <x:c r="H13" s="21" t="str">
        <x:v>Personas desagregadas y ponderadas en Asignaciones</x:v>
      </x:c>
      <x:c r="I13" s="22" t="n">
        <x:v>0.1</x:v>
      </x:c>
      <x:c r="J13" s="29" t="str">
        <x:f>IF(SUMIFS(Asignaciones!$P$6:$P$325,Asignaciones!$A$6:$A$325,A13)&gt;0,"",SUMIFS(Asignaciones!$K$6:$K$325,Asignaciones!$A$6:$A$325,A13))</x:f>
      </x:c>
      <x:c r="K13" s="16" t="str">
        <x:f>IF(ISNUMBER(J13),I13*J13,"")</x:f>
      </x:c>
      <x:c r="L13" s="23"/>
      <x:c r="M13" s="21"/>
      <x:c r="N13" s="21"/>
      <x:c r="O13" s="15" t="n">
        <x:f>COUNTIFS(Tareas!$B$6:$B$1005,A13)</x:f>
        <x:v>0</x:v>
      </x:c>
      <x:c r="P13" s="15" t="str">
        <x:v>P2-R01</x:v>
      </x:c>
      <x:c r="Q13" s="15" t="str">
        <x:v>Concepto consolidado de revisión y aval</x:v>
      </x:c>
      <x:c r="R13" s="15" t="str">
        <x:v>Etapa de revisión del original. No es actividad contractual adicional.</x:v>
      </x:c>
      <x:c r="S13" s="27" t="n">
        <x:f>IF(ISNUMBER(J13),0,1)</x:f>
        <x:v>1</x:v>
      </x:c>
      <x:c r="T13" s="43" t="n">
        <x:f>SUMIFS(Asignaciones!$G$6:$G$325,Asignaciones!$A$6:$A$325,A13)</x:f>
        <x:v>1</x:v>
      </x:c>
    </x:row>
    <x:row r="14" ht="42" customHeight="1">
      <x:c r="A14" s="15" t="str">
        <x:v>P2 / R02</x:v>
      </x:c>
      <x:c r="B14" s="15" t="str">
        <x:v>C1</x:v>
      </x:c>
      <x:c r="C14" s="15" t="str">
        <x:v>P2</x:v>
      </x:c>
      <x:c r="D14" s="15" t="str">
        <x:v>R02</x:v>
      </x:c>
      <x:c r="E14" s="15" t="str">
        <x:v>Revisión final Secretaría</x:v>
      </x:c>
      <x:c r="F14" s="15" t="str">
        <x:v>Realizar la revisión final institucional y emitir observaciones o conformidad para el cierre del entregable</x:v>
      </x:c>
      <x:c r="G14" s="21" t="str">
        <x:v>Juana — Secretaría de Medio Ambiente</x:v>
      </x:c>
      <x:c r="H14" s="21" t="str">
        <x:v>Personas desagregadas y ponderadas en Asignaciones</x:v>
      </x:c>
      <x:c r="I14" s="22" t="n">
        <x:v>0.05</x:v>
      </x:c>
      <x:c r="J14" s="29" t="str">
        <x:f>IF(SUMIFS(Asignaciones!$P$6:$P$325,Asignaciones!$A$6:$A$325,A14)&gt;0,"",SUMIFS(Asignaciones!$K$6:$K$325,Asignaciones!$A$6:$A$325,A14))</x:f>
      </x:c>
      <x:c r="K14" s="16" t="str">
        <x:f>IF(ISNUMBER(J14),I14*J14,"")</x:f>
      </x:c>
      <x:c r="L14" s="23"/>
      <x:c r="M14" s="21"/>
      <x:c r="N14" s="21"/>
      <x:c r="O14" s="15" t="n">
        <x:f>COUNTIFS(Tareas!$B$6:$B$1005,A14)</x:f>
        <x:v>0</x:v>
      </x:c>
      <x:c r="P14" s="15" t="str">
        <x:v>P2-R02</x:v>
      </x:c>
      <x:c r="Q14" s="15" t="str">
        <x:v>Concepto u observaciones finales de la Secretaría</x:v>
      </x:c>
      <x:c r="R14" s="15" t="str">
        <x:v>Etapa de revisión del original. No es actividad contractual adicional.</x:v>
      </x:c>
      <x:c r="S14" s="27" t="n">
        <x:f>IF(ISNUMBER(J14),0,1)</x:f>
        <x:v>1</x:v>
      </x:c>
      <x:c r="T14" s="43" t="n">
        <x:f>SUMIFS(Asignaciones!$G$6:$G$325,Asignaciones!$A$6:$A$325,A14)</x:f>
        <x:v>1</x:v>
      </x:c>
    </x:row>
    <x:row r="15" ht="57" customHeight="1">
      <x:c r="A15" s="15" t="str">
        <x:v>P3 / C2-A1</x:v>
      </x:c>
      <x:c r="B15" s="15" t="str">
        <x:v>C2</x:v>
      </x:c>
      <x:c r="C15" s="15" t="str">
        <x:v>P3</x:v>
      </x:c>
      <x:c r="D15" s="15" t="str">
        <x:v>C2-A1</x:v>
      </x:c>
      <x:c r="E15" s="15" t="str">
        <x:v>Contractual</x:v>
      </x:c>
      <x:c r="F15" s="15" t="str">
        <x:v>Revisión y reformulación de objetivos estratégicos y sectoriales del Plan de Acción Climática bajo criterios SMART (específicos, medibles, realizables, realistas y temporales).</x:v>
      </x:c>
      <x:c r="G15" s="21" t="str">
        <x:v>Sebastián Cartagena; Paola Andrea Ruiz Franco</x:v>
      </x:c>
      <x:c r="H15" s="21" t="str">
        <x:v>Personas desagregadas y ponderadas en Asignaciones</x:v>
      </x:c>
      <x:c r="I15" s="22" t="n">
        <x:v>0.2125</x:v>
      </x:c>
      <x:c r="J15" s="29" t="str">
        <x:f>IF(SUMIFS(Asignaciones!$P$6:$P$325,Asignaciones!$A$6:$A$325,A15)&gt;0,"",SUMIFS(Asignaciones!$K$6:$K$325,Asignaciones!$A$6:$A$325,A15))</x:f>
      </x:c>
      <x:c r="K15" s="16" t="str">
        <x:f>IF(ISNUMBER(J15),I15*J15,"")</x:f>
      </x:c>
      <x:c r="L15" s="23"/>
      <x:c r="M15" s="21"/>
      <x:c r="N15" s="21"/>
      <x:c r="O15" s="15" t="n">
        <x:f>COUNTIFS(Tareas!$B$6:$B$1005,A15)</x:f>
        <x:v>0</x:v>
      </x:c>
      <x:c r="P15" s="15" t="str">
        <x:v>P3-A02; P3-A06</x:v>
      </x:c>
      <x:c r="Q15" s="15" t="str">
        <x:v>Matriz de objetivos SMART
Borrador técnico completo de P3</x:v>
      </x:c>
      <x:c r="R15" s="15" t="str">
        <x:v>Propuesta por correspondencia temática. Validar responsables y alcance dentro del entregable.</x:v>
      </x:c>
      <x:c r="S15" s="27" t="n">
        <x:f>IF(ISNUMBER(J15),0,1)</x:f>
        <x:v>1</x:v>
      </x:c>
      <x:c r="T15" s="43" t="n">
        <x:f>SUMIFS(Asignaciones!$G$6:$G$325,Asignaciones!$A$6:$A$325,A15)</x:f>
        <x:v>1</x:v>
      </x:c>
    </x:row>
    <x:row r="16" ht="42" customHeight="1">
      <x:c r="A16" s="15" t="str">
        <x:v>P3 / C2-A2</x:v>
      </x:c>
      <x:c r="B16" s="15" t="str">
        <x:v>C2</x:v>
      </x:c>
      <x:c r="C16" s="15" t="str">
        <x:v>P3</x:v>
      </x:c>
      <x:c r="D16" s="15" t="str">
        <x:v>C2-A2</x:v>
      </x:c>
      <x:c r="E16" s="15" t="str">
        <x:v>Contractual</x:v>
      </x:c>
      <x:c r="F16" s="15" t="str">
        <x:v>Actualización de la teoría de cambio y la cadena de valor del instrumento.</x:v>
      </x:c>
      <x:c r="G16" s="21" t="str">
        <x:v>Sebastián Cartagena; Paola Andrea Ruiz Franco</x:v>
      </x:c>
      <x:c r="H16" s="21" t="str">
        <x:v>Personas desagregadas y ponderadas en Asignaciones</x:v>
      </x:c>
      <x:c r="I16" s="22" t="n">
        <x:v>0.2125</x:v>
      </x:c>
      <x:c r="J16" s="29" t="str">
        <x:f>IF(SUMIFS(Asignaciones!$P$6:$P$325,Asignaciones!$A$6:$A$325,A16)&gt;0,"",SUMIFS(Asignaciones!$K$6:$K$325,Asignaciones!$A$6:$A$325,A16))</x:f>
      </x:c>
      <x:c r="K16" s="16" t="str">
        <x:f>IF(ISNUMBER(J16),I16*J16,"")</x:f>
      </x:c>
      <x:c r="L16" s="23"/>
      <x:c r="M16" s="21"/>
      <x:c r="N16" s="21"/>
      <x:c r="O16" s="15" t="n">
        <x:f>COUNTIFS(Tareas!$B$6:$B$1005,A16)</x:f>
        <x:v>0</x:v>
      </x:c>
      <x:c r="P16" s="15" t="str">
        <x:v>P3-A03</x:v>
      </x:c>
      <x:c r="Q16" s="15" t="str">
        <x:v>Teoría de cambio y cadena de valor ajustadas</x:v>
      </x:c>
      <x:c r="R16" s="15" t="str">
        <x:v>Propuesta por correspondencia temática. Validar responsables y alcance dentro del entregable.</x:v>
      </x:c>
      <x:c r="S16" s="27" t="n">
        <x:f>IF(ISNUMBER(J16),0,1)</x:f>
        <x:v>1</x:v>
      </x:c>
      <x:c r="T16" s="43" t="n">
        <x:f>SUMIFS(Asignaciones!$G$6:$G$325,Asignaciones!$A$6:$A$325,A16)</x:f>
        <x:v>1</x:v>
      </x:c>
    </x:row>
    <x:row r="17" ht="57" customHeight="1">
      <x:c r="A17" s="15" t="str">
        <x:v>P3 / C2-A3</x:v>
      </x:c>
      <x:c r="B17" s="15" t="str">
        <x:v>C2</x:v>
      </x:c>
      <x:c r="C17" s="15" t="str">
        <x:v>P3</x:v>
      </x:c>
      <x:c r="D17" s="15" t="str">
        <x:v>C2-A3</x:v>
      </x:c>
      <x:c r="E17" s="15" t="str">
        <x:v>Contractual</x:v>
      </x:c>
      <x:c r="F17" s="15" t="str">
        <x:v>Revisión y depuración de acciones con dificultades de implementación derivadas de restricciones competenciales o de gobernanza.</x:v>
      </x:c>
      <x:c r="G17" s="21" t="str">
        <x:v>Sebastián Cartagena; Marcos Arango Tamayo; Paola Andrea Ruiz Franco</x:v>
      </x:c>
      <x:c r="H17" s="21" t="str">
        <x:v>Personas desagregadas y ponderadas en Asignaciones</x:v>
      </x:c>
      <x:c r="I17" s="22" t="n">
        <x:v>0.17</x:v>
      </x:c>
      <x:c r="J17" s="29" t="str">
        <x:f>IF(SUMIFS(Asignaciones!$P$6:$P$325,Asignaciones!$A$6:$A$325,A17)&gt;0,"",SUMIFS(Asignaciones!$K$6:$K$325,Asignaciones!$A$6:$A$325,A17))</x:f>
      </x:c>
      <x:c r="K17" s="16" t="str">
        <x:f>IF(ISNUMBER(J17),I17*J17,"")</x:f>
      </x:c>
      <x:c r="L17" s="23"/>
      <x:c r="M17" s="21"/>
      <x:c r="N17" s="21"/>
      <x:c r="O17" s="15" t="n">
        <x:f>COUNTIFS(Tareas!$B$6:$B$1005,A17)</x:f>
        <x:v>0</x:v>
      </x:c>
      <x:c r="P17" s="15" t="str">
        <x:v>P3-A01</x:v>
      </x:c>
      <x:c r="Q17" s="15" t="str">
        <x:v>Matriz de referentes y restricciones</x:v>
      </x:c>
      <x:c r="R17" s="15" t="str">
        <x:v>Propuesta por correspondencia temática. Validar responsables y alcance dentro del entregable.</x:v>
      </x:c>
      <x:c r="S17" s="27" t="n">
        <x:f>IF(ISNUMBER(J17),0,1)</x:f>
        <x:v>1</x:v>
      </x:c>
      <x:c r="T17" s="43" t="n">
        <x:f>SUMIFS(Asignaciones!$G$6:$G$325,Asignaciones!$A$6:$A$325,A17)</x:f>
        <x:v>1</x:v>
      </x:c>
    </x:row>
    <x:row r="18" ht="72" customHeight="1">
      <x:c r="A18" s="15" t="str">
        <x:v>P3 / C2-A4</x:v>
      </x:c>
      <x:c r="B18" s="15" t="str">
        <x:v>C2</x:v>
      </x:c>
      <x:c r="C18" s="15" t="str">
        <x:v>P3</x:v>
      </x:c>
      <x:c r="D18" s="15" t="str">
        <x:v>C2-A4</x:v>
      </x:c>
      <x:c r="E18" s="15" t="str">
        <x:v>Contractual</x:v>
      </x:c>
      <x:c r="F18" s="15" t="str">
        <x:v>Diseño e incorporación de medidas de gestión, medios de implementación, proyectos o instrumentos de implementación para el cumplimiento de los objetivos SMART y las acciones sectoriales.</x:v>
      </x:c>
      <x:c r="G18" s="21" t="str">
        <x:v>Harlem Acevedo Agudelo; Jeiner de Jesús Castellanos Barliza; Vanessa García Leoz; Paola Andrea Ruiz Franco</x:v>
      </x:c>
      <x:c r="H18" s="21" t="str">
        <x:v>Personas desagregadas y ponderadas en Asignaciones</x:v>
      </x:c>
      <x:c r="I18" s="22" t="n">
        <x:v>0.1275</x:v>
      </x:c>
      <x:c r="J18" s="29" t="str">
        <x:f>IF(SUMIFS(Asignaciones!$P$6:$P$325,Asignaciones!$A$6:$A$325,A18)&gt;0,"",SUMIFS(Asignaciones!$K$6:$K$325,Asignaciones!$A$6:$A$325,A18))</x:f>
      </x:c>
      <x:c r="K18" s="16" t="str">
        <x:f>IF(ISNUMBER(J18),I18*J18,"")</x:f>
      </x:c>
      <x:c r="L18" s="23"/>
      <x:c r="M18" s="21"/>
      <x:c r="N18" s="21"/>
      <x:c r="O18" s="15" t="n">
        <x:f>COUNTIFS(Tareas!$B$6:$B$1005,A18)</x:f>
        <x:v>0</x:v>
      </x:c>
      <x:c r="P18" s="15" t="str">
        <x:v>P3-A04</x:v>
      </x:c>
      <x:c r="Q18" s="15" t="str">
        <x:v>Matriz de instrumentos de implementación</x:v>
      </x:c>
      <x:c r="R18" s="15" t="str">
        <x:v>Propuesta por correspondencia temática. Validar responsables y alcance dentro del entregable.</x:v>
      </x:c>
      <x:c r="S18" s="27" t="n">
        <x:f>IF(ISNUMBER(J18),0,1)</x:f>
        <x:v>1</x:v>
      </x:c>
      <x:c r="T18" s="43" t="n">
        <x:f>SUMIFS(Asignaciones!$G$6:$G$325,Asignaciones!$A$6:$A$325,A18)</x:f>
        <x:v>1</x:v>
      </x:c>
    </x:row>
    <x:row r="19" ht="72" customHeight="1">
      <x:c r="A19" s="15" t="str">
        <x:v>P3 / C2-A5</x:v>
      </x:c>
      <x:c r="B19" s="15" t="str">
        <x:v>C2</x:v>
      </x:c>
      <x:c r="C19" s="15" t="str">
        <x:v>P3</x:v>
      </x:c>
      <x:c r="D19" s="15" t="str">
        <x:v>C2-A5</x:v>
      </x:c>
      <x:c r="E19" s="15" t="str">
        <x:v>Contractual</x:v>
      </x:c>
      <x:c r="F19" s="15" t="str">
        <x:v>Incorporación transversal de los enfoques de resiliencia, biodiversidad, economía circular y transición energética en el marco estratégico del plan.</x:v>
      </x:c>
      <x:c r="G19" s="21" t="str">
        <x:v>Jeiner de Jesús Castellanos Barliza; Harlem Acevedo Agudelo; Vanessa García Leoz; Paola Andrea Ruiz Franco</x:v>
      </x:c>
      <x:c r="H19" s="21" t="str">
        <x:v>Personas desagregadas y ponderadas en Asignaciones</x:v>
      </x:c>
      <x:c r="I19" s="22" t="n">
        <x:v>0.1275</x:v>
      </x:c>
      <x:c r="J19" s="29" t="str">
        <x:f>IF(SUMIFS(Asignaciones!$P$6:$P$325,Asignaciones!$A$6:$A$325,A19)&gt;0,"",SUMIFS(Asignaciones!$K$6:$K$325,Asignaciones!$A$6:$A$325,A19))</x:f>
      </x:c>
      <x:c r="K19" s="16" t="str">
        <x:f>IF(ISNUMBER(J19),I19*J19,"")</x:f>
      </x:c>
      <x:c r="L19" s="23"/>
      <x:c r="M19" s="21"/>
      <x:c r="N19" s="21"/>
      <x:c r="O19" s="15" t="n">
        <x:f>COUNTIFS(Tareas!$B$6:$B$1005,A19)</x:f>
        <x:v>0</x:v>
      </x:c>
      <x:c r="P19" s="15" t="str">
        <x:v>P3-A05</x:v>
      </x:c>
      <x:c r="Q19" s="15" t="str">
        <x:v>Matriz de transversalización</x:v>
      </x:c>
      <x:c r="R19" s="15" t="str">
        <x:v>Propuesta por correspondencia temática. Validar responsables y alcance dentro del entregable.</x:v>
      </x:c>
      <x:c r="S19" s="27" t="n">
        <x:f>IF(ISNUMBER(J19),0,1)</x:f>
        <x:v>1</x:v>
      </x:c>
      <x:c r="T19" s="43" t="n">
        <x:f>SUMIFS(Asignaciones!$G$6:$G$325,Asignaciones!$A$6:$A$325,A19)</x:f>
        <x:v>1</x:v>
      </x:c>
    </x:row>
    <x:row r="20" ht="42" customHeight="1">
      <x:c r="A20" s="15" t="str">
        <x:v>P3 / R01</x:v>
      </x:c>
      <x:c r="B20" s="15" t="str">
        <x:v>C2</x:v>
      </x:c>
      <x:c r="C20" s="15" t="str">
        <x:v>P3</x:v>
      </x:c>
      <x:c r="D20" s="15" t="str">
        <x:v>R01</x:v>
      </x:c>
      <x:c r="E20" s="15" t="str">
        <x:v>Revisión y aval</x:v>
      </x:c>
      <x:c r="F20" s="15" t="str">
        <x:v>Revisar integralmente la calidad técnica, coherencia, trazabilidad contractual y suficiencia del entregable</x:v>
      </x:c>
      <x:c r="G20" s="21" t="str">
        <x:v>Guillermo Penagos; María José Suárez</x:v>
      </x:c>
      <x:c r="H20" s="21" t="str">
        <x:v>Personas desagregadas y ponderadas en Asignaciones</x:v>
      </x:c>
      <x:c r="I20" s="22" t="n">
        <x:v>0.1</x:v>
      </x:c>
      <x:c r="J20" s="29" t="str">
        <x:f>IF(SUMIFS(Asignaciones!$P$6:$P$325,Asignaciones!$A$6:$A$325,A20)&gt;0,"",SUMIFS(Asignaciones!$K$6:$K$325,Asignaciones!$A$6:$A$325,A20))</x:f>
      </x:c>
      <x:c r="K20" s="16" t="str">
        <x:f>IF(ISNUMBER(J20),I20*J20,"")</x:f>
      </x:c>
      <x:c r="L20" s="23"/>
      <x:c r="M20" s="21"/>
      <x:c r="N20" s="21"/>
      <x:c r="O20" s="15" t="n">
        <x:f>COUNTIFS(Tareas!$B$6:$B$1005,A20)</x:f>
        <x:v>0</x:v>
      </x:c>
      <x:c r="P20" s="15" t="str">
        <x:v>P3-R01</x:v>
      </x:c>
      <x:c r="Q20" s="15" t="str">
        <x:v>Concepto consolidado de revisión y aval</x:v>
      </x:c>
      <x:c r="R20" s="15" t="str">
        <x:v>Etapa de revisión del original. No es actividad contractual adicional.</x:v>
      </x:c>
      <x:c r="S20" s="27" t="n">
        <x:f>IF(ISNUMBER(J20),0,1)</x:f>
        <x:v>1</x:v>
      </x:c>
      <x:c r="T20" s="43" t="n">
        <x:f>SUMIFS(Asignaciones!$G$6:$G$325,Asignaciones!$A$6:$A$325,A20)</x:f>
        <x:v>1</x:v>
      </x:c>
    </x:row>
    <x:row r="21" ht="42" customHeight="1">
      <x:c r="A21" s="15" t="str">
        <x:v>P3 / R02</x:v>
      </x:c>
      <x:c r="B21" s="15" t="str">
        <x:v>C2</x:v>
      </x:c>
      <x:c r="C21" s="15" t="str">
        <x:v>P3</x:v>
      </x:c>
      <x:c r="D21" s="15" t="str">
        <x:v>R02</x:v>
      </x:c>
      <x:c r="E21" s="15" t="str">
        <x:v>Revisión final Secretaría</x:v>
      </x:c>
      <x:c r="F21" s="15" t="str">
        <x:v>Realizar la revisión final institucional y emitir observaciones o conformidad para el cierre del entregable</x:v>
      </x:c>
      <x:c r="G21" s="21" t="str">
        <x:v>Juana — Secretaría de Medio Ambiente</x:v>
      </x:c>
      <x:c r="H21" s="21" t="str">
        <x:v>Personas desagregadas y ponderadas en Asignaciones</x:v>
      </x:c>
      <x:c r="I21" s="22" t="n">
        <x:v>0.05</x:v>
      </x:c>
      <x:c r="J21" s="29" t="str">
        <x:f>IF(SUMIFS(Asignaciones!$P$6:$P$325,Asignaciones!$A$6:$A$325,A21)&gt;0,"",SUMIFS(Asignaciones!$K$6:$K$325,Asignaciones!$A$6:$A$325,A21))</x:f>
      </x:c>
      <x:c r="K21" s="16" t="str">
        <x:f>IF(ISNUMBER(J21),I21*J21,"")</x:f>
      </x:c>
      <x:c r="L21" s="23"/>
      <x:c r="M21" s="21"/>
      <x:c r="N21" s="21"/>
      <x:c r="O21" s="15" t="n">
        <x:f>COUNTIFS(Tareas!$B$6:$B$1005,A21)</x:f>
        <x:v>0</x:v>
      </x:c>
      <x:c r="P21" s="15" t="str">
        <x:v>P3-R02</x:v>
      </x:c>
      <x:c r="Q21" s="15" t="str">
        <x:v>Concepto u observaciones finales de la Secretaría</x:v>
      </x:c>
      <x:c r="R21" s="15" t="str">
        <x:v>Etapa de revisión del original. No es actividad contractual adicional.</x:v>
      </x:c>
      <x:c r="S21" s="27" t="n">
        <x:f>IF(ISNUMBER(J21),0,1)</x:f>
        <x:v>1</x:v>
      </x:c>
      <x:c r="T21" s="43" t="n">
        <x:f>SUMIFS(Asignaciones!$G$6:$G$325,Asignaciones!$A$6:$A$325,A21)</x:f>
        <x:v>1</x:v>
      </x:c>
    </x:row>
    <x:row r="22" ht="57" customHeight="1">
      <x:c r="A22" s="15" t="str">
        <x:v>P4 / C2-A1</x:v>
      </x:c>
      <x:c r="B22" s="15" t="str">
        <x:v>C2</x:v>
      </x:c>
      <x:c r="C22" s="15" t="str">
        <x:v>P4</x:v>
      </x:c>
      <x:c r="D22" s="15" t="str">
        <x:v>C2-A1</x:v>
      </x:c>
      <x:c r="E22" s="15" t="str">
        <x:v>Contractual</x:v>
      </x:c>
      <x:c r="F22" s="15" t="str">
        <x:v>Revisión y reformulación de objetivos estratégicos y sectoriales del Plan de Acción Climática bajo criterios SMART (específicos, medibles, realizables, realistas y temporales).</x:v>
      </x:c>
      <x:c r="G22" s="21" t="str">
        <x:v>Sebastián Cartagena; Diana Carolina Ríos Echeverri; Paola Andrea Ruiz Franco</x:v>
      </x:c>
      <x:c r="H22" s="21" t="str">
        <x:v>Personas desagregadas y ponderadas en Asignaciones</x:v>
      </x:c>
      <x:c r="I22" s="22" t="n">
        <x:v>0.17</x:v>
      </x:c>
      <x:c r="J22" s="29" t="str">
        <x:f>IF(SUMIFS(Asignaciones!$P$6:$P$325,Asignaciones!$A$6:$A$325,A22)&gt;0,"",SUMIFS(Asignaciones!$K$6:$K$325,Asignaciones!$A$6:$A$325,A22))</x:f>
      </x:c>
      <x:c r="K22" s="16" t="str">
        <x:f>IF(ISNUMBER(J22),I22*J22,"")</x:f>
      </x:c>
      <x:c r="L22" s="23"/>
      <x:c r="M22" s="21"/>
      <x:c r="N22" s="21"/>
      <x:c r="O22" s="15" t="n">
        <x:f>COUNTIFS(Tareas!$B$6:$B$1005,A22)</x:f>
        <x:v>0</x:v>
      </x:c>
      <x:c r="P22" s="15" t="str">
        <x:v>P4-A01; P4-A02; P4-A05</x:v>
      </x:c>
      <x:c r="Q22" s="15" t="str">
        <x:v>Plantilla y criterios de coherencia
Matriz de relaciones diligenciada
Matriz P4 completa y memoria metodológica</x:v>
      </x:c>
      <x:c r="R22" s="15" t="str">
        <x:v>Propuesta por correspondencia temática. Validar responsables y alcance dentro del entregable.</x:v>
      </x:c>
      <x:c r="S22" s="27" t="n">
        <x:f>IF(ISNUMBER(J22),0,1)</x:f>
        <x:v>1</x:v>
      </x:c>
      <x:c r="T22" s="43" t="n">
        <x:f>SUMIFS(Asignaciones!$G$6:$G$325,Asignaciones!$A$6:$A$325,A22)</x:f>
        <x:v>1</x:v>
      </x:c>
    </x:row>
    <x:row r="23" ht="72" customHeight="1">
      <x:c r="A23" s="15" t="str">
        <x:v>P4 / C2-A3</x:v>
      </x:c>
      <x:c r="B23" s="15" t="str">
        <x:v>C2</x:v>
      </x:c>
      <x:c r="C23" s="15" t="str">
        <x:v>P4</x:v>
      </x:c>
      <x:c r="D23" s="15" t="str">
        <x:v>C2-A3</x:v>
      </x:c>
      <x:c r="E23" s="15" t="str">
        <x:v>Contractual</x:v>
      </x:c>
      <x:c r="F23" s="15" t="str">
        <x:v>Revisión y depuración de acciones con dificultades de implementación derivadas de restricciones competenciales o de gobernanza.</x:v>
      </x:c>
      <x:c r="G23" s="21" t="str">
        <x:v>Diana Carolina Ríos Echeverri; Alejandro Silva Cortés; Daniel González Montoya; Paola Andrea Ruiz Franco</x:v>
      </x:c>
      <x:c r="H23" s="21" t="str">
        <x:v>Personas desagregadas y ponderadas en Asignaciones</x:v>
      </x:c>
      <x:c r="I23" s="22" t="n">
        <x:v>0.2125</x:v>
      </x:c>
      <x:c r="J23" s="29" t="str">
        <x:f>IF(SUMIFS(Asignaciones!$P$6:$P$325,Asignaciones!$A$6:$A$325,A23)&gt;0,"",SUMIFS(Asignaciones!$K$6:$K$325,Asignaciones!$A$6:$A$325,A23))</x:f>
      </x:c>
      <x:c r="K23" s="16" t="str">
        <x:f>IF(ISNUMBER(J23),I23*J23,"")</x:f>
      </x:c>
      <x:c r="L23" s="23"/>
      <x:c r="M23" s="21"/>
      <x:c r="N23" s="21"/>
      <x:c r="O23" s="15" t="n">
        <x:f>COUNTIFS(Tareas!$B$6:$B$1005,A23)</x:f>
        <x:v>0</x:v>
      </x:c>
      <x:c r="P23" s="15" t="str">
        <x:v>P4-A04</x:v>
      </x:c>
      <x:c r="Q23" s="15" t="str">
        <x:v>Matriz de articulación transversal</x:v>
      </x:c>
      <x:c r="R23" s="15" t="str">
        <x:v>Propuesta por correspondencia temática. Validar responsables y alcance dentro del entregable.</x:v>
      </x:c>
      <x:c r="S23" s="27" t="n">
        <x:f>IF(ISNUMBER(J23),0,1)</x:f>
        <x:v>1</x:v>
      </x:c>
      <x:c r="T23" s="43" t="n">
        <x:f>SUMIFS(Asignaciones!$G$6:$G$325,Asignaciones!$A$6:$A$325,A23)</x:f>
        <x:v>1</x:v>
      </x:c>
    </x:row>
    <x:row r="24" ht="72" customHeight="1">
      <x:c r="A24" s="15" t="str">
        <x:v>P4 / C2-A4</x:v>
      </x:c>
      <x:c r="B24" s="15" t="str">
        <x:v>C2</x:v>
      </x:c>
      <x:c r="C24" s="15" t="str">
        <x:v>P4</x:v>
      </x:c>
      <x:c r="D24" s="15" t="str">
        <x:v>C2-A4</x:v>
      </x:c>
      <x:c r="E24" s="15" t="str">
        <x:v>Contractual</x:v>
      </x:c>
      <x:c r="F24" s="15" t="str">
        <x:v>Diseño e incorporación de medidas de gestión, medios de implementación, proyectos o instrumentos de implementación para el cumplimiento de los objetivos SMART y las acciones sectoriales.</x:v>
      </x:c>
      <x:c r="G24" s="21" t="str">
        <x:v>Diana Carolina Ríos Echeverri; Alejandro Silva Cortés; Daniel González Montoya; Paola Andrea Ruiz Franco</x:v>
      </x:c>
      <x:c r="H24" s="21" t="str">
        <x:v>Personas desagregadas y ponderadas en Asignaciones</x:v>
      </x:c>
      <x:c r="I24" s="22" t="n">
        <x:v>0.2975</x:v>
      </x:c>
      <x:c r="J24" s="29" t="str">
        <x:f>IF(SUMIFS(Asignaciones!$P$6:$P$325,Asignaciones!$A$6:$A$325,A24)&gt;0,"",SUMIFS(Asignaciones!$K$6:$K$325,Asignaciones!$A$6:$A$325,A24))</x:f>
      </x:c>
      <x:c r="K24" s="16" t="str">
        <x:f>IF(ISNUMBER(J24),I24*J24,"")</x:f>
      </x:c>
      <x:c r="L24" s="23"/>
      <x:c r="M24" s="21"/>
      <x:c r="N24" s="21"/>
      <x:c r="O24" s="15" t="n">
        <x:f>COUNTIFS(Tareas!$B$6:$B$1005,A24)</x:f>
        <x:v>0</x:v>
      </x:c>
      <x:c r="P24" s="15" t="str">
        <x:v>P4-A04</x:v>
      </x:c>
      <x:c r="Q24" s="15" t="str">
        <x:v>Matriz de articulación transversal</x:v>
      </x:c>
      <x:c r="R24" s="15" t="str">
        <x:v>Propuesta por correspondencia temática. Validar responsables y alcance dentro del entregable.</x:v>
      </x:c>
      <x:c r="S24" s="27" t="n">
        <x:f>IF(ISNUMBER(J24),0,1)</x:f>
        <x:v>1</x:v>
      </x:c>
      <x:c r="T24" s="43" t="n">
        <x:f>SUMIFS(Asignaciones!$G$6:$G$325,Asignaciones!$A$6:$A$325,A24)</x:f>
        <x:v>1</x:v>
      </x:c>
    </x:row>
    <x:row r="25" ht="57" customHeight="1">
      <x:c r="A25" s="15" t="str">
        <x:v>P4 / C2-A5</x:v>
      </x:c>
      <x:c r="B25" s="15" t="str">
        <x:v>C2</x:v>
      </x:c>
      <x:c r="C25" s="15" t="str">
        <x:v>P4</x:v>
      </x:c>
      <x:c r="D25" s="15" t="str">
        <x:v>C2-A5</x:v>
      </x:c>
      <x:c r="E25" s="15" t="str">
        <x:v>Contractual</x:v>
      </x:c>
      <x:c r="F25" s="15" t="str">
        <x:v>Incorporación transversal de los enfoques de resiliencia, biodiversidad, economía circular y transición energética en el marco estratégico del plan.</x:v>
      </x:c>
      <x:c r="G25" s="21" t="str">
        <x:v>Juliana Valencia; Marcos Arango Tamayo; Vanessa García Leoz; Paola Andrea Ruiz Franco</x:v>
      </x:c>
      <x:c r="H25" s="21" t="str">
        <x:v>Personas desagregadas y ponderadas en Asignaciones</x:v>
      </x:c>
      <x:c r="I25" s="22" t="n">
        <x:v>0.17</x:v>
      </x:c>
      <x:c r="J25" s="29" t="str">
        <x:f>IF(SUMIFS(Asignaciones!$P$6:$P$325,Asignaciones!$A$6:$A$325,A25)&gt;0,"",SUMIFS(Asignaciones!$K$6:$K$325,Asignaciones!$A$6:$A$325,A25))</x:f>
      </x:c>
      <x:c r="K25" s="16" t="str">
        <x:f>IF(ISNUMBER(J25),I25*J25,"")</x:f>
      </x:c>
      <x:c r="L25" s="23"/>
      <x:c r="M25" s="21"/>
      <x:c r="N25" s="21"/>
      <x:c r="O25" s="15" t="n">
        <x:f>COUNTIFS(Tareas!$B$6:$B$1005,A25)</x:f>
        <x:v>0</x:v>
      </x:c>
      <x:c r="P25" s="15" t="str">
        <x:v>P4-A03</x:v>
      </x:c>
      <x:c r="Q25" s="15" t="str">
        <x:v>Concepto de coherencia técnica</x:v>
      </x:c>
      <x:c r="R25" s="15" t="str">
        <x:v>Propuesta por correspondencia temática. Validar responsables y alcance dentro del entregable.</x:v>
      </x:c>
      <x:c r="S25" s="27" t="n">
        <x:f>IF(ISNUMBER(J25),0,1)</x:f>
        <x:v>1</x:v>
      </x:c>
      <x:c r="T25" s="43" t="n">
        <x:f>SUMIFS(Asignaciones!$G$6:$G$325,Asignaciones!$A$6:$A$325,A25)</x:f>
        <x:v>1</x:v>
      </x:c>
    </x:row>
    <x:row r="26" ht="42" customHeight="1">
      <x:c r="A26" s="15" t="str">
        <x:v>P4 / R01</x:v>
      </x:c>
      <x:c r="B26" s="15" t="str">
        <x:v>C2</x:v>
      </x:c>
      <x:c r="C26" s="15" t="str">
        <x:v>P4</x:v>
      </x:c>
      <x:c r="D26" s="15" t="str">
        <x:v>R01</x:v>
      </x:c>
      <x:c r="E26" s="15" t="str">
        <x:v>Revisión y aval</x:v>
      </x:c>
      <x:c r="F26" s="15" t="str">
        <x:v>Revisar integralmente la calidad técnica, coherencia, trazabilidad contractual y suficiencia del entregable</x:v>
      </x:c>
      <x:c r="G26" s="21" t="str">
        <x:v>Guillermo Penagos; María José Suárez</x:v>
      </x:c>
      <x:c r="H26" s="21" t="str">
        <x:v>Personas desagregadas y ponderadas en Asignaciones</x:v>
      </x:c>
      <x:c r="I26" s="22" t="n">
        <x:v>0.1</x:v>
      </x:c>
      <x:c r="J26" s="29" t="str">
        <x:f>IF(SUMIFS(Asignaciones!$P$6:$P$325,Asignaciones!$A$6:$A$325,A26)&gt;0,"",SUMIFS(Asignaciones!$K$6:$K$325,Asignaciones!$A$6:$A$325,A26))</x:f>
      </x:c>
      <x:c r="K26" s="16" t="str">
        <x:f>IF(ISNUMBER(J26),I26*J26,"")</x:f>
      </x:c>
      <x:c r="L26" s="23"/>
      <x:c r="M26" s="21"/>
      <x:c r="N26" s="21"/>
      <x:c r="O26" s="15" t="n">
        <x:f>COUNTIFS(Tareas!$B$6:$B$1005,A26)</x:f>
        <x:v>0</x:v>
      </x:c>
      <x:c r="P26" s="15" t="str">
        <x:v>P4-R01</x:v>
      </x:c>
      <x:c r="Q26" s="15" t="str">
        <x:v>Concepto consolidado de revisión y aval</x:v>
      </x:c>
      <x:c r="R26" s="15" t="str">
        <x:v>Etapa de revisión del original. No es actividad contractual adicional.</x:v>
      </x:c>
      <x:c r="S26" s="27" t="n">
        <x:f>IF(ISNUMBER(J26),0,1)</x:f>
        <x:v>1</x:v>
      </x:c>
      <x:c r="T26" s="43" t="n">
        <x:f>SUMIFS(Asignaciones!$G$6:$G$325,Asignaciones!$A$6:$A$325,A26)</x:f>
        <x:v>1</x:v>
      </x:c>
    </x:row>
    <x:row r="27" ht="42" customHeight="1">
      <x:c r="A27" s="15" t="str">
        <x:v>P4 / R02</x:v>
      </x:c>
      <x:c r="B27" s="15" t="str">
        <x:v>C2</x:v>
      </x:c>
      <x:c r="C27" s="15" t="str">
        <x:v>P4</x:v>
      </x:c>
      <x:c r="D27" s="15" t="str">
        <x:v>R02</x:v>
      </x:c>
      <x:c r="E27" s="15" t="str">
        <x:v>Revisión final Secretaría</x:v>
      </x:c>
      <x:c r="F27" s="15" t="str">
        <x:v>Realizar la revisión final institucional y emitir observaciones o conformidad para el cierre del entregable</x:v>
      </x:c>
      <x:c r="G27" s="21" t="str">
        <x:v>Juana — Secretaría de Medio Ambiente</x:v>
      </x:c>
      <x:c r="H27" s="21" t="str">
        <x:v>Personas desagregadas y ponderadas en Asignaciones</x:v>
      </x:c>
      <x:c r="I27" s="22" t="n">
        <x:v>0.05</x:v>
      </x:c>
      <x:c r="J27" s="29" t="str">
        <x:f>IF(SUMIFS(Asignaciones!$P$6:$P$325,Asignaciones!$A$6:$A$325,A27)&gt;0,"",SUMIFS(Asignaciones!$K$6:$K$325,Asignaciones!$A$6:$A$325,A27))</x:f>
      </x:c>
      <x:c r="K27" s="16" t="str">
        <x:f>IF(ISNUMBER(J27),I27*J27,"")</x:f>
      </x:c>
      <x:c r="L27" s="23"/>
      <x:c r="M27" s="21"/>
      <x:c r="N27" s="21"/>
      <x:c r="O27" s="15" t="n">
        <x:f>COUNTIFS(Tareas!$B$6:$B$1005,A27)</x:f>
        <x:v>0</x:v>
      </x:c>
      <x:c r="P27" s="15" t="str">
        <x:v>P4-R02</x:v>
      </x:c>
      <x:c r="Q27" s="15" t="str">
        <x:v>Concepto u observaciones finales de la Secretaría</x:v>
      </x:c>
      <x:c r="R27" s="15" t="str">
        <x:v>Etapa de revisión del original. No es actividad contractual adicional.</x:v>
      </x:c>
      <x:c r="S27" s="27" t="n">
        <x:f>IF(ISNUMBER(J27),0,1)</x:f>
        <x:v>1</x:v>
      </x:c>
      <x:c r="T27" s="43" t="n">
        <x:f>SUMIFS(Asignaciones!$G$6:$G$325,Asignaciones!$A$6:$A$325,A27)</x:f>
        <x:v>1</x:v>
      </x:c>
    </x:row>
    <x:row r="28" ht="57" customHeight="1">
      <x:c r="A28" s="15" t="str">
        <x:v>P5 / C3-A1</x:v>
      </x:c>
      <x:c r="B28" s="15" t="str">
        <x:v>C3</x:v>
      </x:c>
      <x:c r="C28" s="15" t="str">
        <x:v>P5</x:v>
      </x:c>
      <x:c r="D28" s="15" t="str">
        <x:v>C3-A1</x:v>
      </x:c>
      <x:c r="E28" s="15" t="str">
        <x:v>Contractual</x:v>
      </x:c>
      <x:c r="F28" s="15" t="str">
        <x:v>Integración de las Acciones de Alto Impacto (High Impact Actions – HIA) promovidas por C40, en coherencia con evidencia y evaluación de pertinencia y oportunidad para el Distrito.</x:v>
      </x:c>
      <x:c r="G28" s="21" t="str">
        <x:v>Marcos Arango Tamayo; Sebastián Cartagena; Juliana Valencia; Paola Andrea Ruiz Franco</x:v>
      </x:c>
      <x:c r="H28" s="21" t="str">
        <x:v>Personas desagregadas y ponderadas en Asignaciones</x:v>
      </x:c>
      <x:c r="I28" s="22" t="n">
        <x:v>0.1275</x:v>
      </x:c>
      <x:c r="J28" s="29" t="str">
        <x:f>IF(SUMIFS(Asignaciones!$P$6:$P$325,Asignaciones!$A$6:$A$325,A28)&gt;0,"",SUMIFS(Asignaciones!$K$6:$K$325,Asignaciones!$A$6:$A$325,A28))</x:f>
      </x:c>
      <x:c r="K28" s="16" t="str">
        <x:f>IF(ISNUMBER(J28),I28*J28,"")</x:f>
      </x:c>
      <x:c r="L28" s="23"/>
      <x:c r="M28" s="21"/>
      <x:c r="N28" s="21"/>
      <x:c r="O28" s="15" t="n">
        <x:f>COUNTIFS(Tareas!$B$6:$B$1005,A28)</x:f>
        <x:v>0</x:v>
      </x:c>
      <x:c r="P28" s="15" t="str">
        <x:v>P5-A01</x:v>
      </x:c>
      <x:c r="Q28" s="15" t="str">
        <x:v>Matriz de fuentes y medidas candidatas</x:v>
      </x:c>
      <x:c r="R28" s="15" t="str">
        <x:v>Propuesta por correspondencia temática. Validar responsables y alcance dentro del entregable.</x:v>
      </x:c>
      <x:c r="S28" s="27" t="n">
        <x:f>IF(ISNUMBER(J28),0,1)</x:f>
        <x:v>1</x:v>
      </x:c>
      <x:c r="T28" s="43" t="n">
        <x:f>SUMIFS(Asignaciones!$G$6:$G$325,Asignaciones!$A$6:$A$325,A28)</x:f>
        <x:v>1</x:v>
      </x:c>
    </x:row>
    <x:row r="29" ht="117" customHeight="1">
      <x:c r="A29" s="15" t="str">
        <x:v>P5 / C3-A2</x:v>
      </x:c>
      <x:c r="B29" s="15" t="str">
        <x:v>C3</x:v>
      </x:c>
      <x:c r="C29" s="15" t="str">
        <x:v>P5</x:v>
      </x:c>
      <x:c r="D29" s="15" t="str">
        <x:v>C3-A2</x:v>
      </x:c>
      <x:c r="E29" s="15" t="str">
        <x:v>Contractual</x:v>
      </x:c>
      <x:c r="F29" s="15" t="str">
        <x:v>Identificación y caracterización del inventario de acciones y medidas planteadas para el PAC, mediante la estandarización y estructuración de metas, opciones tecnológicas, reducción de emisiones, SbN y medidas político-institucionales de mitigación y adaptación, alineadas con instrumentos de mayor jerarquía y C40.</x:v>
      </x:c>
      <x:c r="G29" s="21" t="str">
        <x:v>Jeiner de Jesús Castellanos Barliza; Marcos Arango Tamayo; Harlem Acevedo Agudelo; Vanessa García Leoz; Alejandro Silva Cortés; Juliana Valencia; Diana Carolina Ríos Echeverri; Paola Andrea Ruiz Franco</x:v>
      </x:c>
      <x:c r="H29" s="21" t="str">
        <x:v>Personas desagregadas y ponderadas en Asignaciones</x:v>
      </x:c>
      <x:c r="I29" s="22" t="n">
        <x:v>0.2975</x:v>
      </x:c>
      <x:c r="J29" s="29" t="str">
        <x:f>IF(SUMIFS(Asignaciones!$P$6:$P$325,Asignaciones!$A$6:$A$325,A29)&gt;0,"",SUMIFS(Asignaciones!$K$6:$K$325,Asignaciones!$A$6:$A$325,A29))</x:f>
      </x:c>
      <x:c r="K29" s="16" t="str">
        <x:f>IF(ISNUMBER(J29),I29*J29,"")</x:f>
      </x:c>
      <x:c r="L29" s="23"/>
      <x:c r="M29" s="21"/>
      <x:c r="N29" s="21"/>
      <x:c r="O29" s="15" t="n">
        <x:f>COUNTIFS(Tareas!$B$6:$B$1005,A29)</x:f>
        <x:v>0</x:v>
      </x:c>
      <x:c r="P29" s="15" t="str">
        <x:v>P5-A02; P5-A03; P5-A06; P5-A07</x:v>
      </x:c>
      <x:c r="Q29" s="15" t="str">
        <x:v>Inventario consolidado y clasificado
Fichas técnicas sectoriales
Campos de costos y financiación diligenciados
Catálogo P5 consolidado</x:v>
      </x:c>
      <x:c r="R29" s="15" t="str">
        <x:v>Propuesta por correspondencia temática. Validar responsables y alcance dentro del entregable.</x:v>
      </x:c>
      <x:c r="S29" s="27" t="n">
        <x:f>IF(ISNUMBER(J29),0,1)</x:f>
        <x:v>1</x:v>
      </x:c>
      <x:c r="T29" s="43" t="n">
        <x:f>SUMIFS(Asignaciones!$G$6:$G$325,Asignaciones!$A$6:$A$325,A29)</x:f>
        <x:v>1</x:v>
      </x:c>
    </x:row>
    <x:row r="30" ht="57" customHeight="1">
      <x:c r="A30" s="15" t="str">
        <x:v>P5 / C3-A3</x:v>
      </x:c>
      <x:c r="B30" s="15" t="str">
        <x:v>C3</x:v>
      </x:c>
      <x:c r="C30" s="15" t="str">
        <x:v>P5</x:v>
      </x:c>
      <x:c r="D30" s="15" t="str">
        <x:v>C3-A3</x:v>
      </x:c>
      <x:c r="E30" s="15" t="str">
        <x:v>Contractual</x:v>
      </x:c>
      <x:c r="F30" s="15" t="str">
        <x:v>Estimación cuantitativa del potencial de reducción de emisiones de GEI (ton CO2e) por medida y sector frente a la Línea Base (Business as Usual - BaU).</x:v>
      </x:c>
      <x:c r="G30" s="21" t="str">
        <x:v>Juliana Valencia; Marcos Arango Tamayo; Paola Andrea Ruiz Franco</x:v>
      </x:c>
      <x:c r="H30" s="21" t="str">
        <x:v>Personas desagregadas y ponderadas en Asignaciones</x:v>
      </x:c>
      <x:c r="I30" s="22" t="n">
        <x:v>0.1275</x:v>
      </x:c>
      <x:c r="J30" s="29" t="str">
        <x:f>IF(SUMIFS(Asignaciones!$P$6:$P$325,Asignaciones!$A$6:$A$325,A30)&gt;0,"",SUMIFS(Asignaciones!$K$6:$K$325,Asignaciones!$A$6:$A$325,A30))</x:f>
      </x:c>
      <x:c r="K30" s="16" t="str">
        <x:f>IF(ISNUMBER(J30),I30*J30,"")</x:f>
      </x:c>
      <x:c r="L30" s="23"/>
      <x:c r="M30" s="21"/>
      <x:c r="N30" s="21"/>
      <x:c r="O30" s="15" t="n">
        <x:f>COUNTIFS(Tareas!$B$6:$B$1005,A30)</x:f>
        <x:v>0</x:v>
      </x:c>
      <x:c r="P30" s="15" t="str">
        <x:v>P5-A04</x:v>
      </x:c>
      <x:c r="Q30" s="15" t="str">
        <x:v>Memoria de cálculo de tCO2e</x:v>
      </x:c>
      <x:c r="R30" s="15" t="str">
        <x:v>Propuesta por correspondencia temática. Validar responsables y alcance dentro del entregable.</x:v>
      </x:c>
      <x:c r="S30" s="27" t="n">
        <x:f>IF(ISNUMBER(J30),0,1)</x:f>
        <x:v>1</x:v>
      </x:c>
      <x:c r="T30" s="43" t="n">
        <x:f>SUMIFS(Asignaciones!$G$6:$G$325,Asignaciones!$A$6:$A$325,A30)</x:f>
        <x:v>1</x:v>
      </x:c>
    </x:row>
    <x:row r="31" ht="72" customHeight="1">
      <x:c r="A31" s="15" t="str">
        <x:v>P5 / C3-A4</x:v>
      </x:c>
      <x:c r="B31" s="15" t="str">
        <x:v>C3</x:v>
      </x:c>
      <x:c r="C31" s="15" t="str">
        <x:v>P5</x:v>
      </x:c>
      <x:c r="D31" s="15" t="str">
        <x:v>C3-A4</x:v>
      </x:c>
      <x:c r="E31" s="15" t="str">
        <x:v>Contractual</x:v>
      </x:c>
      <x:c r="F31" s="15" t="str">
        <x:v>Valoración cuali-cuantitativa del aporte directo de cada medida a la reducción de la vulnerabilidad y el aumento de la resiliencia climática del territorio.</x:v>
      </x:c>
      <x:c r="G31" s="21" t="str">
        <x:v>Marcos Arango Tamayo; Vanessa García Leoz; Jeiner de Jesús Castellanos Barliza; Paola Andrea Ruiz Franco</x:v>
      </x:c>
      <x:c r="H31" s="21" t="str">
        <x:v>Personas desagregadas y ponderadas en Asignaciones</x:v>
      </x:c>
      <x:c r="I31" s="22" t="n">
        <x:v>0.1275</x:v>
      </x:c>
      <x:c r="J31" s="29" t="str">
        <x:f>IF(SUMIFS(Asignaciones!$P$6:$P$325,Asignaciones!$A$6:$A$325,A31)&gt;0,"",SUMIFS(Asignaciones!$K$6:$K$325,Asignaciones!$A$6:$A$325,A31))</x:f>
      </x:c>
      <x:c r="K31" s="16" t="str">
        <x:f>IF(ISNUMBER(J31),I31*J31,"")</x:f>
      </x:c>
      <x:c r="L31" s="23"/>
      <x:c r="M31" s="21"/>
      <x:c r="N31" s="21"/>
      <x:c r="O31" s="15" t="n">
        <x:f>COUNTIFS(Tareas!$B$6:$B$1005,A31)</x:f>
        <x:v>0</x:v>
      </x:c>
      <x:c r="P31" s="15" t="str">
        <x:v>P5-A05</x:v>
      </x:c>
      <x:c r="Q31" s="15" t="str">
        <x:v>Matriz de adaptación y territorialización</x:v>
      </x:c>
      <x:c r="R31" s="15" t="str">
        <x:v>Propuesta por correspondencia temática. Validar responsables y alcance dentro del entregable.</x:v>
      </x:c>
      <x:c r="S31" s="27" t="n">
        <x:f>IF(ISNUMBER(J31),0,1)</x:f>
        <x:v>1</x:v>
      </x:c>
      <x:c r="T31" s="43" t="n">
        <x:f>SUMIFS(Asignaciones!$G$6:$G$325,Asignaciones!$A$6:$A$325,A31)</x:f>
        <x:v>1</x:v>
      </x:c>
    </x:row>
    <x:row r="32" ht="72" customHeight="1">
      <x:c r="A32" s="15" t="str">
        <x:v>P5 / C3-A5</x:v>
      </x:c>
      <x:c r="B32" s="15" t="str">
        <x:v>C3</x:v>
      </x:c>
      <x:c r="C32" s="15" t="str">
        <x:v>P5</x:v>
      </x:c>
      <x:c r="D32" s="15" t="str">
        <x:v>C3-A5</x:v>
      </x:c>
      <x:c r="E32" s="15" t="str">
        <x:v>Contractual</x:v>
      </x:c>
      <x:c r="F32" s="15" t="str">
        <x:v>Territorialización de medidas priorizadas con base en la caracterización socioeconómica y el análisis sectorial y de factores estructurales.</x:v>
      </x:c>
      <x:c r="G32" s="21" t="str">
        <x:v>Marcos Arango Tamayo; Vanessa García Leoz; Jeiner de Jesús Castellanos Barliza; Paola Andrea Ruiz Franco</x:v>
      </x:c>
      <x:c r="H32" s="21" t="str">
        <x:v>Personas desagregadas y ponderadas en Asignaciones</x:v>
      </x:c>
      <x:c r="I32" s="22" t="n">
        <x:v>0.17</x:v>
      </x:c>
      <x:c r="J32" s="29" t="str">
        <x:f>IF(SUMIFS(Asignaciones!$P$6:$P$325,Asignaciones!$A$6:$A$325,A32)&gt;0,"",SUMIFS(Asignaciones!$K$6:$K$325,Asignaciones!$A$6:$A$325,A32))</x:f>
      </x:c>
      <x:c r="K32" s="16" t="str">
        <x:f>IF(ISNUMBER(J32),I32*J32,"")</x:f>
      </x:c>
      <x:c r="L32" s="23"/>
      <x:c r="M32" s="21"/>
      <x:c r="N32" s="21"/>
      <x:c r="O32" s="15" t="n">
        <x:f>COUNTIFS(Tareas!$B$6:$B$1005,A32)</x:f>
        <x:v>0</x:v>
      </x:c>
      <x:c r="P32" s="15" t="str">
        <x:v>P5-A05</x:v>
      </x:c>
      <x:c r="Q32" s="15" t="str">
        <x:v>Matriz de adaptación y territorialización</x:v>
      </x:c>
      <x:c r="R32" s="15" t="str">
        <x:v>Propuesta por correspondencia temática. Validar responsables y alcance dentro del entregable.</x:v>
      </x:c>
      <x:c r="S32" s="27" t="n">
        <x:f>IF(ISNUMBER(J32),0,1)</x:f>
        <x:v>1</x:v>
      </x:c>
      <x:c r="T32" s="43" t="n">
        <x:f>SUMIFS(Asignaciones!$G$6:$G$325,Asignaciones!$A$6:$A$325,A32)</x:f>
        <x:v>1</x:v>
      </x:c>
    </x:row>
    <x:row r="33" ht="42" customHeight="1">
      <x:c r="A33" s="15" t="str">
        <x:v>P5 / R01</x:v>
      </x:c>
      <x:c r="B33" s="15" t="str">
        <x:v>C3</x:v>
      </x:c>
      <x:c r="C33" s="15" t="str">
        <x:v>P5</x:v>
      </x:c>
      <x:c r="D33" s="15" t="str">
        <x:v>R01</x:v>
      </x:c>
      <x:c r="E33" s="15" t="str">
        <x:v>Revisión y aval</x:v>
      </x:c>
      <x:c r="F33" s="15" t="str">
        <x:v>Revisar integralmente la calidad técnica, coherencia, trazabilidad contractual y suficiencia del entregable</x:v>
      </x:c>
      <x:c r="G33" s="21" t="str">
        <x:v>Guillermo Penagos; María José Suárez</x:v>
      </x:c>
      <x:c r="H33" s="21" t="str">
        <x:v>Personas desagregadas y ponderadas en Asignaciones</x:v>
      </x:c>
      <x:c r="I33" s="22" t="n">
        <x:v>0.1</x:v>
      </x:c>
      <x:c r="J33" s="29" t="str">
        <x:f>IF(SUMIFS(Asignaciones!$P$6:$P$325,Asignaciones!$A$6:$A$325,A33)&gt;0,"",SUMIFS(Asignaciones!$K$6:$K$325,Asignaciones!$A$6:$A$325,A33))</x:f>
      </x:c>
      <x:c r="K33" s="16" t="str">
        <x:f>IF(ISNUMBER(J33),I33*J33,"")</x:f>
      </x:c>
      <x:c r="L33" s="23"/>
      <x:c r="M33" s="21"/>
      <x:c r="N33" s="21"/>
      <x:c r="O33" s="15" t="n">
        <x:f>COUNTIFS(Tareas!$B$6:$B$1005,A33)</x:f>
        <x:v>0</x:v>
      </x:c>
      <x:c r="P33" s="15" t="str">
        <x:v>P5-R01</x:v>
      </x:c>
      <x:c r="Q33" s="15" t="str">
        <x:v>Concepto consolidado de revisión y aval</x:v>
      </x:c>
      <x:c r="R33" s="15" t="str">
        <x:v>Etapa de revisión del original. No es actividad contractual adicional.</x:v>
      </x:c>
      <x:c r="S33" s="27" t="n">
        <x:f>IF(ISNUMBER(J33),0,1)</x:f>
        <x:v>1</x:v>
      </x:c>
      <x:c r="T33" s="43" t="n">
        <x:f>SUMIFS(Asignaciones!$G$6:$G$325,Asignaciones!$A$6:$A$325,A33)</x:f>
        <x:v>1</x:v>
      </x:c>
    </x:row>
    <x:row r="34" ht="42" customHeight="1">
      <x:c r="A34" s="15" t="str">
        <x:v>P5 / R02</x:v>
      </x:c>
      <x:c r="B34" s="15" t="str">
        <x:v>C3</x:v>
      </x:c>
      <x:c r="C34" s="15" t="str">
        <x:v>P5</x:v>
      </x:c>
      <x:c r="D34" s="15" t="str">
        <x:v>R02</x:v>
      </x:c>
      <x:c r="E34" s="15" t="str">
        <x:v>Revisión final Secretaría</x:v>
      </x:c>
      <x:c r="F34" s="15" t="str">
        <x:v>Realizar la revisión final institucional y emitir observaciones o conformidad para el cierre del entregable</x:v>
      </x:c>
      <x:c r="G34" s="21" t="str">
        <x:v>Juana — Secretaría de Medio Ambiente</x:v>
      </x:c>
      <x:c r="H34" s="21" t="str">
        <x:v>Personas desagregadas y ponderadas en Asignaciones</x:v>
      </x:c>
      <x:c r="I34" s="22" t="n">
        <x:v>0.05</x:v>
      </x:c>
      <x:c r="J34" s="29" t="str">
        <x:f>IF(SUMIFS(Asignaciones!$P$6:$P$325,Asignaciones!$A$6:$A$325,A34)&gt;0,"",SUMIFS(Asignaciones!$K$6:$K$325,Asignaciones!$A$6:$A$325,A34))</x:f>
      </x:c>
      <x:c r="K34" s="16" t="str">
        <x:f>IF(ISNUMBER(J34),I34*J34,"")</x:f>
      </x:c>
      <x:c r="L34" s="23"/>
      <x:c r="M34" s="21"/>
      <x:c r="N34" s="21"/>
      <x:c r="O34" s="15" t="n">
        <x:f>COUNTIFS(Tareas!$B$6:$B$1005,A34)</x:f>
        <x:v>0</x:v>
      </x:c>
      <x:c r="P34" s="15" t="str">
        <x:v>P5-R02</x:v>
      </x:c>
      <x:c r="Q34" s="15" t="str">
        <x:v>Concepto u observaciones finales de la Secretaría</x:v>
      </x:c>
      <x:c r="R34" s="15" t="str">
        <x:v>Etapa de revisión del original. No es actividad contractual adicional.</x:v>
      </x:c>
      <x:c r="S34" s="27" t="n">
        <x:f>IF(ISNUMBER(J34),0,1)</x:f>
        <x:v>1</x:v>
      </x:c>
      <x:c r="T34" s="43" t="n">
        <x:f>SUMIFS(Asignaciones!$G$6:$G$325,Asignaciones!$A$6:$A$325,A34)</x:f>
        <x:v>1</x:v>
      </x:c>
    </x:row>
    <x:row r="35" ht="72" customHeight="1">
      <x:c r="A35" s="15" t="str">
        <x:v>P6 / C3-A1</x:v>
      </x:c>
      <x:c r="B35" s="15" t="str">
        <x:v>C3</x:v>
      </x:c>
      <x:c r="C35" s="15" t="str">
        <x:v>P6</x:v>
      </x:c>
      <x:c r="D35" s="15" t="str">
        <x:v>C3-A1</x:v>
      </x:c>
      <x:c r="E35" s="15" t="str">
        <x:v>Contractual</x:v>
      </x:c>
      <x:c r="F35" s="15" t="str">
        <x:v>Integración de las Acciones de Alto Impacto (High Impact Actions – HIA) promovidas por C40, en coherencia con evidencia y evaluación de pertinencia y oportunidad para el Distrito.</x:v>
      </x:c>
      <x:c r="G35" s="21" t="str">
        <x:v>Marcos Arango Tamayo; Juliana Valencia; Jeiner de Jesús Castellanos Barliza; Vanessa García Leoz; Paola Andrea Ruiz Franco</x:v>
      </x:c>
      <x:c r="H35" s="21" t="str">
        <x:v>Personas desagregadas y ponderadas en Asignaciones</x:v>
      </x:c>
      <x:c r="I35" s="22" t="n">
        <x:v>0.085</x:v>
      </x:c>
      <x:c r="J35" s="29" t="str">
        <x:f>IF(SUMIFS(Asignaciones!$P$6:$P$325,Asignaciones!$A$6:$A$325,A35)&gt;0,"",SUMIFS(Asignaciones!$K$6:$K$325,Asignaciones!$A$6:$A$325,A35))</x:f>
      </x:c>
      <x:c r="K35" s="16" t="str">
        <x:f>IF(ISNUMBER(J35),I35*J35,"")</x:f>
      </x:c>
      <x:c r="L35" s="23"/>
      <x:c r="M35" s="21"/>
      <x:c r="N35" s="21"/>
      <x:c r="O35" s="15" t="n">
        <x:f>COUNTIFS(Tareas!$B$6:$B$1005,A35)</x:f>
        <x:v>0</x:v>
      </x:c>
      <x:c r="P35" s="15" t="str">
        <x:v>P6-A02</x:v>
      </x:c>
      <x:c r="Q35" s="15" t="str">
        <x:v>Base normalizada para el modelo</x:v>
      </x:c>
      <x:c r="R35" s="15" t="str">
        <x:v>Propuesta por correspondencia temática. Validar responsables y alcance dentro del entregable.</x:v>
      </x:c>
      <x:c r="S35" s="27" t="n">
        <x:f>IF(ISNUMBER(J35),0,1)</x:f>
        <x:v>1</x:v>
      </x:c>
      <x:c r="T35" s="43" t="n">
        <x:f>SUMIFS(Asignaciones!$G$6:$G$325,Asignaciones!$A$6:$A$325,A35)</x:f>
        <x:v>1</x:v>
      </x:c>
    </x:row>
    <x:row r="36" ht="87" customHeight="1">
      <x:c r="A36" s="15" t="str">
        <x:v>P6 / C3-A2</x:v>
      </x:c>
      <x:c r="B36" s="15" t="str">
        <x:v>C3</x:v>
      </x:c>
      <x:c r="C36" s="15" t="str">
        <x:v>P6</x:v>
      </x:c>
      <x:c r="D36" s="15" t="str">
        <x:v>C3-A2</x:v>
      </x:c>
      <x:c r="E36" s="15" t="str">
        <x:v>Contractual</x:v>
      </x:c>
      <x:c r="F36" s="15" t="str">
        <x:v>Identificación y caracterización del inventario de acciones y medidas planteadas para el PAC, mediante la estandarización y estructuración de metas, opciones tecnológicas, reducción de emisiones, SbN y medidas político-institucionales de mitigación y adaptación, alineadas con instrumentos de mayor jerarquía y C40.</x:v>
      </x:c>
      <x:c r="G36" s="21" t="str">
        <x:v>Marcos Arango Tamayo; Juliana Valencia; Jeiner de Jesús Castellanos Barliza; Vanessa García Leoz; Paola Andrea Ruiz Franco</x:v>
      </x:c>
      <x:c r="H36" s="21" t="str">
        <x:v>Personas desagregadas y ponderadas en Asignaciones</x:v>
      </x:c>
      <x:c r="I36" s="22" t="n">
        <x:v>0.1275</x:v>
      </x:c>
      <x:c r="J36" s="29" t="str">
        <x:f>IF(SUMIFS(Asignaciones!$P$6:$P$325,Asignaciones!$A$6:$A$325,A36)&gt;0,"",SUMIFS(Asignaciones!$K$6:$K$325,Asignaciones!$A$6:$A$325,A36))</x:f>
      </x:c>
      <x:c r="K36" s="16" t="str">
        <x:f>IF(ISNUMBER(J36),I36*J36,"")</x:f>
      </x:c>
      <x:c r="L36" s="23"/>
      <x:c r="M36" s="21"/>
      <x:c r="N36" s="21"/>
      <x:c r="O36" s="15" t="n">
        <x:f>COUNTIFS(Tareas!$B$6:$B$1005,A36)</x:f>
        <x:v>0</x:v>
      </x:c>
      <x:c r="P36" s="15" t="str">
        <x:v>P6-A02</x:v>
      </x:c>
      <x:c r="Q36" s="15" t="str">
        <x:v>Base normalizada para el modelo</x:v>
      </x:c>
      <x:c r="R36" s="15" t="str">
        <x:v>Propuesta por correspondencia temática. Validar responsables y alcance dentro del entregable.</x:v>
      </x:c>
      <x:c r="S36" s="27" t="n">
        <x:f>IF(ISNUMBER(J36),0,1)</x:f>
        <x:v>1</x:v>
      </x:c>
      <x:c r="T36" s="43" t="n">
        <x:f>SUMIFS(Asignaciones!$G$6:$G$325,Asignaciones!$A$6:$A$325,A36)</x:f>
        <x:v>1</x:v>
      </x:c>
    </x:row>
    <x:row r="37" ht="72" customHeight="1">
      <x:c r="A37" s="15" t="str">
        <x:v>P6 / C3-A3</x:v>
      </x:c>
      <x:c r="B37" s="15" t="str">
        <x:v>C3</x:v>
      </x:c>
      <x:c r="C37" s="15" t="str">
        <x:v>P6</x:v>
      </x:c>
      <x:c r="D37" s="15" t="str">
        <x:v>C3-A3</x:v>
      </x:c>
      <x:c r="E37" s="15" t="str">
        <x:v>Contractual</x:v>
      </x:c>
      <x:c r="F37" s="15" t="str">
        <x:v>Estimación cuantitativa del potencial de reducción de emisiones de GEI (ton CO2e) por medida y sector frente a la Línea Base (Business as Usual - BaU).</x:v>
      </x:c>
      <x:c r="G37" s="21" t="str">
        <x:v>Marcos Arango Tamayo; Juliana Valencia; Jeiner de Jesús Castellanos Barliza; Vanessa García Leoz; Paola Andrea Ruiz Franco</x:v>
      </x:c>
      <x:c r="H37" s="21" t="str">
        <x:v>Personas desagregadas y ponderadas en Asignaciones</x:v>
      </x:c>
      <x:c r="I37" s="22" t="n">
        <x:v>0.1275</x:v>
      </x:c>
      <x:c r="J37" s="29" t="str">
        <x:f>IF(SUMIFS(Asignaciones!$P$6:$P$325,Asignaciones!$A$6:$A$325,A37)&gt;0,"",SUMIFS(Asignaciones!$K$6:$K$325,Asignaciones!$A$6:$A$325,A37))</x:f>
      </x:c>
      <x:c r="K37" s="16" t="str">
        <x:f>IF(ISNUMBER(J37),I37*J37,"")</x:f>
      </x:c>
      <x:c r="L37" s="23"/>
      <x:c r="M37" s="21"/>
      <x:c r="N37" s="21"/>
      <x:c r="O37" s="15" t="n">
        <x:f>COUNTIFS(Tareas!$B$6:$B$1005,A37)</x:f>
        <x:v>0</x:v>
      </x:c>
      <x:c r="P37" s="15" t="str">
        <x:v>P6-A02</x:v>
      </x:c>
      <x:c r="Q37" s="15" t="str">
        <x:v>Base normalizada para el modelo</x:v>
      </x:c>
      <x:c r="R37" s="15" t="str">
        <x:v>Propuesta por correspondencia temática. Validar responsables y alcance dentro del entregable.</x:v>
      </x:c>
      <x:c r="S37" s="27" t="n">
        <x:f>IF(ISNUMBER(J37),0,1)</x:f>
        <x:v>1</x:v>
      </x:c>
      <x:c r="T37" s="43" t="n">
        <x:f>SUMIFS(Asignaciones!$G$6:$G$325,Asignaciones!$A$6:$A$325,A37)</x:f>
        <x:v>1</x:v>
      </x:c>
    </x:row>
    <x:row r="38" ht="72" customHeight="1">
      <x:c r="A38" s="15" t="str">
        <x:v>P6 / C3-A4</x:v>
      </x:c>
      <x:c r="B38" s="15" t="str">
        <x:v>C3</x:v>
      </x:c>
      <x:c r="C38" s="15" t="str">
        <x:v>P6</x:v>
      </x:c>
      <x:c r="D38" s="15" t="str">
        <x:v>C3-A4</x:v>
      </x:c>
      <x:c r="E38" s="15" t="str">
        <x:v>Contractual</x:v>
      </x:c>
      <x:c r="F38" s="15" t="str">
        <x:v>Valoración cuali-cuantitativa del aporte directo de cada medida a la reducción de la vulnerabilidad y el aumento de la resiliencia climática del territorio.</x:v>
      </x:c>
      <x:c r="G38" s="21" t="str">
        <x:v>Marcos Arango Tamayo; Juliana Valencia; Jeiner de Jesús Castellanos Barliza; Vanessa García Leoz; Paola Andrea Ruiz Franco</x:v>
      </x:c>
      <x:c r="H38" s="21" t="str">
        <x:v>Personas desagregadas y ponderadas en Asignaciones</x:v>
      </x:c>
      <x:c r="I38" s="22" t="n">
        <x:v>0.1275</x:v>
      </x:c>
      <x:c r="J38" s="29" t="str">
        <x:f>IF(SUMIFS(Asignaciones!$P$6:$P$325,Asignaciones!$A$6:$A$325,A38)&gt;0,"",SUMIFS(Asignaciones!$K$6:$K$325,Asignaciones!$A$6:$A$325,A38))</x:f>
      </x:c>
      <x:c r="K38" s="16" t="str">
        <x:f>IF(ISNUMBER(J38),I38*J38,"")</x:f>
      </x:c>
      <x:c r="L38" s="23"/>
      <x:c r="M38" s="21"/>
      <x:c r="N38" s="21"/>
      <x:c r="O38" s="15" t="n">
        <x:f>COUNTIFS(Tareas!$B$6:$B$1005,A38)</x:f>
        <x:v>0</x:v>
      </x:c>
      <x:c r="P38" s="15" t="str">
        <x:v>P6-A02</x:v>
      </x:c>
      <x:c r="Q38" s="15" t="str">
        <x:v>Base normalizada para el modelo</x:v>
      </x:c>
      <x:c r="R38" s="15" t="str">
        <x:v>Propuesta por correspondencia temática. Validar responsables y alcance dentro del entregable.</x:v>
      </x:c>
      <x:c r="S38" s="27" t="n">
        <x:f>IF(ISNUMBER(J38),0,1)</x:f>
        <x:v>1</x:v>
      </x:c>
      <x:c r="T38" s="43" t="n">
        <x:f>SUMIFS(Asignaciones!$G$6:$G$325,Asignaciones!$A$6:$A$325,A38)</x:f>
        <x:v>1</x:v>
      </x:c>
    </x:row>
    <x:row r="39" ht="72" customHeight="1">
      <x:c r="A39" s="15" t="str">
        <x:v>P6 / C3-A5</x:v>
      </x:c>
      <x:c r="B39" s="15" t="str">
        <x:v>C3</x:v>
      </x:c>
      <x:c r="C39" s="15" t="str">
        <x:v>P6</x:v>
      </x:c>
      <x:c r="D39" s="15" t="str">
        <x:v>C3-A5</x:v>
      </x:c>
      <x:c r="E39" s="15" t="str">
        <x:v>Contractual</x:v>
      </x:c>
      <x:c r="F39" s="15" t="str">
        <x:v>Territorialización de medidas priorizadas con base en la caracterización socioeconómica y el análisis sectorial y de factores estructurales.</x:v>
      </x:c>
      <x:c r="G39" s="21" t="str">
        <x:v>Marcos Arango Tamayo; Juliana Valencia; Jeiner de Jesús Castellanos Barliza; Vanessa García Leoz; Paola Andrea Ruiz Franco</x:v>
      </x:c>
      <x:c r="H39" s="21" t="str">
        <x:v>Personas desagregadas y ponderadas en Asignaciones</x:v>
      </x:c>
      <x:c r="I39" s="22" t="n">
        <x:v>0.085</x:v>
      </x:c>
      <x:c r="J39" s="29" t="str">
        <x:f>IF(SUMIFS(Asignaciones!$P$6:$P$325,Asignaciones!$A$6:$A$325,A39)&gt;0,"",SUMIFS(Asignaciones!$K$6:$K$325,Asignaciones!$A$6:$A$325,A39))</x:f>
      </x:c>
      <x:c r="K39" s="16" t="str">
        <x:f>IF(ISNUMBER(J39),I39*J39,"")</x:f>
      </x:c>
      <x:c r="L39" s="23"/>
      <x:c r="M39" s="21"/>
      <x:c r="N39" s="21"/>
      <x:c r="O39" s="15" t="n">
        <x:f>COUNTIFS(Tareas!$B$6:$B$1005,A39)</x:f>
        <x:v>0</x:v>
      </x:c>
      <x:c r="P39" s="15" t="str">
        <x:v>P6-A02</x:v>
      </x:c>
      <x:c r="Q39" s="15" t="str">
        <x:v>Base normalizada para el modelo</x:v>
      </x:c>
      <x:c r="R39" s="15" t="str">
        <x:v>Propuesta por correspondencia temática. Validar responsables y alcance dentro del entregable.</x:v>
      </x:c>
      <x:c r="S39" s="27" t="n">
        <x:f>IF(ISNUMBER(J39),0,1)</x:f>
        <x:v>1</x:v>
      </x:c>
      <x:c r="T39" s="43" t="n">
        <x:f>SUMIFS(Asignaciones!$G$6:$G$325,Asignaciones!$A$6:$A$325,A39)</x:f>
        <x:v>1</x:v>
      </x:c>
    </x:row>
    <x:row r="40" ht="72" customHeight="1">
      <x:c r="A40" s="15" t="str">
        <x:v>P6 / C3-A6</x:v>
      </x:c>
      <x:c r="B40" s="15" t="str">
        <x:v>C3</x:v>
      </x:c>
      <x:c r="C40" s="15" t="str">
        <x:v>P6</x:v>
      </x:c>
      <x:c r="D40" s="15" t="str">
        <x:v>C3-A6</x:v>
      </x:c>
      <x:c r="E40" s="15" t="str">
        <x:v>Contractual</x:v>
      </x:c>
      <x:c r="F40" s="15" t="str">
        <x:v>Diseño y aplicación de un modelo de análisis multicriterio basado en el Proceso de Redes Analíticas (ANP) para la priorización del portafolio, incorporando co-beneficios y criterios socioeconómicos clave.</x:v>
      </x:c>
      <x:c r="G40" s="21" t="str">
        <x:v>Diana Carolina Ríos Echeverri; Juliana Valencia; Marcos Arango Tamayo; Alejandro Silva Cortés; Paola Andrea Ruiz Franco</x:v>
      </x:c>
      <x:c r="H40" s="21" t="str">
        <x:v>Personas desagregadas y ponderadas en Asignaciones</x:v>
      </x:c>
      <x:c r="I40" s="22" t="n">
        <x:v>0.2975</x:v>
      </x:c>
      <x:c r="J40" s="29" t="str">
        <x:f>IF(SUMIFS(Asignaciones!$P$6:$P$325,Asignaciones!$A$6:$A$325,A40)&gt;0,"",SUMIFS(Asignaciones!$K$6:$K$325,Asignaciones!$A$6:$A$325,A40))</x:f>
      </x:c>
      <x:c r="K40" s="16" t="str">
        <x:f>IF(ISNUMBER(J40),I40*J40,"")</x:f>
      </x:c>
      <x:c r="L40" s="23"/>
      <x:c r="M40" s="21"/>
      <x:c r="N40" s="21"/>
      <x:c r="O40" s="15" t="n">
        <x:f>COUNTIFS(Tareas!$B$6:$B$1005,A40)</x:f>
        <x:v>0</x:v>
      </x:c>
      <x:c r="P40" s="15" t="str">
        <x:v>P6-A01; P6-A03; P6-A04; P6-A05; P6-A06</x:v>
      </x:c>
      <x:c r="Q40" s="15" t="str">
        <x:v>Marco de criterios y escalas
Modelo AHP/ANP documentado
Instrumentos y acta de ponderación
Informe de sensibilidad
Documento técnico P6 y ranking final</x:v>
      </x:c>
      <x:c r="R40" s="15" t="str">
        <x:v>Propuesta por correspondencia temática. Validar responsables y alcance dentro del entregable.</x:v>
      </x:c>
      <x:c r="S40" s="27" t="n">
        <x:f>IF(ISNUMBER(J40),0,1)</x:f>
        <x:v>1</x:v>
      </x:c>
      <x:c r="T40" s="43" t="n">
        <x:f>SUMIFS(Asignaciones!$G$6:$G$325,Asignaciones!$A$6:$A$325,A40)</x:f>
        <x:v>1</x:v>
      </x:c>
    </x:row>
    <x:row r="41" ht="42" customHeight="1">
      <x:c r="A41" s="15" t="str">
        <x:v>P6 / R01</x:v>
      </x:c>
      <x:c r="B41" s="15" t="str">
        <x:v>C3</x:v>
      </x:c>
      <x:c r="C41" s="15" t="str">
        <x:v>P6</x:v>
      </x:c>
      <x:c r="D41" s="15" t="str">
        <x:v>R01</x:v>
      </x:c>
      <x:c r="E41" s="15" t="str">
        <x:v>Revisión y aval</x:v>
      </x:c>
      <x:c r="F41" s="15" t="str">
        <x:v>Revisar integralmente la calidad técnica, coherencia, trazabilidad contractual y suficiencia del entregable</x:v>
      </x:c>
      <x:c r="G41" s="21" t="str">
        <x:v>Guillermo Penagos; María José Suárez</x:v>
      </x:c>
      <x:c r="H41" s="21" t="str">
        <x:v>Personas desagregadas y ponderadas en Asignaciones</x:v>
      </x:c>
      <x:c r="I41" s="22" t="n">
        <x:v>0.1</x:v>
      </x:c>
      <x:c r="J41" s="29" t="str">
        <x:f>IF(SUMIFS(Asignaciones!$P$6:$P$325,Asignaciones!$A$6:$A$325,A41)&gt;0,"",SUMIFS(Asignaciones!$K$6:$K$325,Asignaciones!$A$6:$A$325,A41))</x:f>
      </x:c>
      <x:c r="K41" s="16" t="str">
        <x:f>IF(ISNUMBER(J41),I41*J41,"")</x:f>
      </x:c>
      <x:c r="L41" s="23"/>
      <x:c r="M41" s="21"/>
      <x:c r="N41" s="21"/>
      <x:c r="O41" s="15" t="n">
        <x:f>COUNTIFS(Tareas!$B$6:$B$1005,A41)</x:f>
        <x:v>0</x:v>
      </x:c>
      <x:c r="P41" s="15" t="str">
        <x:v>P6-R01</x:v>
      </x:c>
      <x:c r="Q41" s="15" t="str">
        <x:v>Concepto consolidado de revisión y aval</x:v>
      </x:c>
      <x:c r="R41" s="15" t="str">
        <x:v>Etapa de revisión del original. No es actividad contractual adicional.</x:v>
      </x:c>
      <x:c r="S41" s="27" t="n">
        <x:f>IF(ISNUMBER(J41),0,1)</x:f>
        <x:v>1</x:v>
      </x:c>
      <x:c r="T41" s="43" t="n">
        <x:f>SUMIFS(Asignaciones!$G$6:$G$325,Asignaciones!$A$6:$A$325,A41)</x:f>
        <x:v>1</x:v>
      </x:c>
    </x:row>
    <x:row r="42" ht="42" customHeight="1">
      <x:c r="A42" s="15" t="str">
        <x:v>P6 / R02</x:v>
      </x:c>
      <x:c r="B42" s="15" t="str">
        <x:v>C3</x:v>
      </x:c>
      <x:c r="C42" s="15" t="str">
        <x:v>P6</x:v>
      </x:c>
      <x:c r="D42" s="15" t="str">
        <x:v>R02</x:v>
      </x:c>
      <x:c r="E42" s="15" t="str">
        <x:v>Revisión final Secretaría</x:v>
      </x:c>
      <x:c r="F42" s="15" t="str">
        <x:v>Realizar la revisión final institucional y emitir observaciones o conformidad para el cierre del entregable</x:v>
      </x:c>
      <x:c r="G42" s="21" t="str">
        <x:v>Juana — Secretaría de Medio Ambiente</x:v>
      </x:c>
      <x:c r="H42" s="21" t="str">
        <x:v>Personas desagregadas y ponderadas en Asignaciones</x:v>
      </x:c>
      <x:c r="I42" s="22" t="n">
        <x:v>0.05</x:v>
      </x:c>
      <x:c r="J42" s="29" t="str">
        <x:f>IF(SUMIFS(Asignaciones!$P$6:$P$325,Asignaciones!$A$6:$A$325,A42)&gt;0,"",SUMIFS(Asignaciones!$K$6:$K$325,Asignaciones!$A$6:$A$325,A42))</x:f>
      </x:c>
      <x:c r="K42" s="16" t="str">
        <x:f>IF(ISNUMBER(J42),I42*J42,"")</x:f>
      </x:c>
      <x:c r="L42" s="23"/>
      <x:c r="M42" s="21"/>
      <x:c r="N42" s="21"/>
      <x:c r="O42" s="15" t="n">
        <x:f>COUNTIFS(Tareas!$B$6:$B$1005,A42)</x:f>
        <x:v>0</x:v>
      </x:c>
      <x:c r="P42" s="15" t="str">
        <x:v>P6-R02</x:v>
      </x:c>
      <x:c r="Q42" s="15" t="str">
        <x:v>Concepto u observaciones finales de la Secretaría</x:v>
      </x:c>
      <x:c r="R42" s="15" t="str">
        <x:v>Etapa de revisión del original. No es actividad contractual adicional.</x:v>
      </x:c>
      <x:c r="S42" s="27" t="n">
        <x:f>IF(ISNUMBER(J42),0,1)</x:f>
        <x:v>1</x:v>
      </x:c>
      <x:c r="T42" s="43" t="n">
        <x:f>SUMIFS(Asignaciones!$G$6:$G$325,Asignaciones!$A$6:$A$325,A42)</x:f>
        <x:v>1</x:v>
      </x:c>
    </x:row>
    <x:row r="43" ht="87" customHeight="1">
      <x:c r="A43" s="15" t="str">
        <x:v>P7 / C3-A2</x:v>
      </x:c>
      <x:c r="B43" s="15" t="str">
        <x:v>C3</x:v>
      </x:c>
      <x:c r="C43" s="15" t="str">
        <x:v>P7</x:v>
      </x:c>
      <x:c r="D43" s="15" t="str">
        <x:v>C3-A2</x:v>
      </x:c>
      <x:c r="E43" s="15" t="str">
        <x:v>Contractual</x:v>
      </x:c>
      <x:c r="F43" s="15" t="str">
        <x:v>Identificación y caracterización del inventario de acciones y medidas planteadas para el PAC, mediante la estandarización y estructuración de metas, opciones tecnológicas, reducción de emisiones, SbN y medidas político-institucionales de mitigación y adaptación, alineadas con instrumentos de mayor jerarquía y C40.</x:v>
      </x:c>
      <x:c r="G43" s="21" t="str">
        <x:v>Marcos Arango Tamayo; Juliana Valencia; Paola Andrea Ruiz Franco</x:v>
      </x:c>
      <x:c r="H43" s="21" t="str">
        <x:v>Personas desagregadas y ponderadas en Asignaciones</x:v>
      </x:c>
      <x:c r="I43" s="22" t="n">
        <x:v>0.085</x:v>
      </x:c>
      <x:c r="J43" s="29" t="str">
        <x:f>IF(SUMIFS(Asignaciones!$P$6:$P$325,Asignaciones!$A$6:$A$325,A43)&gt;0,"",SUMIFS(Asignaciones!$K$6:$K$325,Asignaciones!$A$6:$A$325,A43))</x:f>
      </x:c>
      <x:c r="K43" s="16" t="str">
        <x:f>IF(ISNUMBER(J43),I43*J43,"")</x:f>
      </x:c>
      <x:c r="L43" s="23"/>
      <x:c r="M43" s="21"/>
      <x:c r="N43" s="21"/>
      <x:c r="O43" s="15" t="n">
        <x:f>COUNTIFS(Tareas!$B$6:$B$1005,A43)</x:f>
        <x:v>0</x:v>
      </x:c>
      <x:c r="P43" s="15" t="str">
        <x:v>P7-A06</x:v>
      </x:c>
      <x:c r="Q43" s="15" t="str">
        <x:v>Borrador técnico completo de P7</x:v>
      </x:c>
      <x:c r="R43" s="15" t="str">
        <x:v>Propuesta por correspondencia temática. Validar responsables y alcance dentro del entregable.</x:v>
      </x:c>
      <x:c r="S43" s="27" t="n">
        <x:f>IF(ISNUMBER(J43),0,1)</x:f>
        <x:v>1</x:v>
      </x:c>
      <x:c r="T43" s="43" t="n">
        <x:f>SUMIFS(Asignaciones!$G$6:$G$325,Asignaciones!$A$6:$A$325,A43)</x:f>
        <x:v>1</x:v>
      </x:c>
    </x:row>
    <x:row r="44" ht="57" customHeight="1">
      <x:c r="A44" s="15" t="str">
        <x:v>P7 / C3-A3</x:v>
      </x:c>
      <x:c r="B44" s="15" t="str">
        <x:v>C3</x:v>
      </x:c>
      <x:c r="C44" s="15" t="str">
        <x:v>P7</x:v>
      </x:c>
      <x:c r="D44" s="15" t="str">
        <x:v>C3-A3</x:v>
      </x:c>
      <x:c r="E44" s="15" t="str">
        <x:v>Contractual</x:v>
      </x:c>
      <x:c r="F44" s="15" t="str">
        <x:v>Estimación cuantitativa del potencial de reducción de emisiones de GEI (ton CO2e) por medida y sector frente a la Línea Base (Business as Usual - BaU).</x:v>
      </x:c>
      <x:c r="G44" s="21" t="str">
        <x:v>Juliana Valencia; Harlem Acevedo Agudelo; Marcos Arango Tamayo; Paola Andrea Ruiz Franco</x:v>
      </x:c>
      <x:c r="H44" s="21" t="str">
        <x:v>Personas desagregadas y ponderadas en Asignaciones</x:v>
      </x:c>
      <x:c r="I44" s="22" t="n">
        <x:v>0.1275</x:v>
      </x:c>
      <x:c r="J44" s="29" t="str">
        <x:f>IF(SUMIFS(Asignaciones!$P$6:$P$325,Asignaciones!$A$6:$A$325,A44)&gt;0,"",SUMIFS(Asignaciones!$K$6:$K$325,Asignaciones!$A$6:$A$325,A44))</x:f>
      </x:c>
      <x:c r="K44" s="16" t="str">
        <x:f>IF(ISNUMBER(J44),I44*J44,"")</x:f>
      </x:c>
      <x:c r="L44" s="23"/>
      <x:c r="M44" s="21"/>
      <x:c r="N44" s="21"/>
      <x:c r="O44" s="15" t="n">
        <x:f>COUNTIFS(Tareas!$B$6:$B$1005,A44)</x:f>
        <x:v>0</x:v>
      </x:c>
      <x:c r="P44" s="15" t="str">
        <x:v>P7-A02</x:v>
      </x:c>
      <x:c r="Q44" s="15" t="str">
        <x:v>Trayectoria de mitigación</x:v>
      </x:c>
      <x:c r="R44" s="15" t="str">
        <x:v>Propuesta por correspondencia temática. Validar responsables y alcance dentro del entregable.</x:v>
      </x:c>
      <x:c r="S44" s="27" t="n">
        <x:f>IF(ISNUMBER(J44),0,1)</x:f>
        <x:v>1</x:v>
      </x:c>
      <x:c r="T44" s="43" t="n">
        <x:f>SUMIFS(Asignaciones!$G$6:$G$325,Asignaciones!$A$6:$A$325,A44)</x:f>
        <x:v>1</x:v>
      </x:c>
    </x:row>
    <x:row r="45" ht="72" customHeight="1">
      <x:c r="A45" s="15" t="str">
        <x:v>P7 / C3-A4</x:v>
      </x:c>
      <x:c r="B45" s="15" t="str">
        <x:v>C3</x:v>
      </x:c>
      <x:c r="C45" s="15" t="str">
        <x:v>P7</x:v>
      </x:c>
      <x:c r="D45" s="15" t="str">
        <x:v>C3-A4</x:v>
      </x:c>
      <x:c r="E45" s="15" t="str">
        <x:v>Contractual</x:v>
      </x:c>
      <x:c r="F45" s="15" t="str">
        <x:v>Valoración cuali-cuantitativa del aporte directo de cada medida a la reducción de la vulnerabilidad y el aumento de la resiliencia climática del territorio.</x:v>
      </x:c>
      <x:c r="G45" s="21" t="str">
        <x:v>Jeiner de Jesús Castellanos Barliza; Vanessa García Leoz; Harlem Acevedo Agudelo; Paola Andrea Ruiz Franco</x:v>
      </x:c>
      <x:c r="H45" s="21" t="str">
        <x:v>Personas desagregadas y ponderadas en Asignaciones</x:v>
      </x:c>
      <x:c r="I45" s="22" t="n">
        <x:v>0.1275</x:v>
      </x:c>
      <x:c r="J45" s="29" t="str">
        <x:f>IF(SUMIFS(Asignaciones!$P$6:$P$325,Asignaciones!$A$6:$A$325,A45)&gt;0,"",SUMIFS(Asignaciones!$K$6:$K$325,Asignaciones!$A$6:$A$325,A45))</x:f>
      </x:c>
      <x:c r="K45" s="16" t="str">
        <x:f>IF(ISNUMBER(J45),I45*J45,"")</x:f>
      </x:c>
      <x:c r="L45" s="23"/>
      <x:c r="M45" s="21"/>
      <x:c r="N45" s="21"/>
      <x:c r="O45" s="15" t="n">
        <x:f>COUNTIFS(Tareas!$B$6:$B$1005,A45)</x:f>
        <x:v>0</x:v>
      </x:c>
      <x:c r="P45" s="15" t="str">
        <x:v>P7-A03</x:v>
      </x:c>
      <x:c r="Q45" s="15" t="str">
        <x:v>Trayectoria de adaptación y resiliencia</x:v>
      </x:c>
      <x:c r="R45" s="15" t="str">
        <x:v>Propuesta por correspondencia temática. Validar responsables y alcance dentro del entregable.</x:v>
      </x:c>
      <x:c r="S45" s="27" t="n">
        <x:f>IF(ISNUMBER(J45),0,1)</x:f>
        <x:v>1</x:v>
      </x:c>
      <x:c r="T45" s="43" t="n">
        <x:f>SUMIFS(Asignaciones!$G$6:$G$325,Asignaciones!$A$6:$A$325,A45)</x:f>
        <x:v>1</x:v>
      </x:c>
    </x:row>
    <x:row r="46" ht="57" customHeight="1">
      <x:c r="A46" s="15" t="str">
        <x:v>P7 / C3-A5</x:v>
      </x:c>
      <x:c r="B46" s="15" t="str">
        <x:v>C3</x:v>
      </x:c>
      <x:c r="C46" s="15" t="str">
        <x:v>P7</x:v>
      </x:c>
      <x:c r="D46" s="15" t="str">
        <x:v>C3-A5</x:v>
      </x:c>
      <x:c r="E46" s="15" t="str">
        <x:v>Contractual</x:v>
      </x:c>
      <x:c r="F46" s="15" t="str">
        <x:v>Territorialización de medidas priorizadas con base en la caracterización socioeconómica y el análisis sectorial y de factores estructurales.</x:v>
      </x:c>
      <x:c r="G46" s="21" t="str">
        <x:v>Marcos Arango Tamayo; Vanessa García Leoz; Paola Andrea Ruiz Franco</x:v>
      </x:c>
      <x:c r="H46" s="21" t="str">
        <x:v>Personas desagregadas y ponderadas en Asignaciones</x:v>
      </x:c>
      <x:c r="I46" s="22" t="n">
        <x:v>0.085</x:v>
      </x:c>
      <x:c r="J46" s="29" t="str">
        <x:f>IF(SUMIFS(Asignaciones!$P$6:$P$325,Asignaciones!$A$6:$A$325,A46)&gt;0,"",SUMIFS(Asignaciones!$K$6:$K$325,Asignaciones!$A$6:$A$325,A46))</x:f>
      </x:c>
      <x:c r="K46" s="16" t="str">
        <x:f>IF(ISNUMBER(J46),I46*J46,"")</x:f>
      </x:c>
      <x:c r="L46" s="23"/>
      <x:c r="M46" s="21"/>
      <x:c r="N46" s="21"/>
      <x:c r="O46" s="15" t="n">
        <x:f>COUNTIFS(Tareas!$B$6:$B$1005,A46)</x:f>
        <x:v>0</x:v>
      </x:c>
      <x:c r="P46" s="15" t="str">
        <x:v>P7-A04</x:v>
      </x:c>
      <x:c r="Q46" s="15" t="str">
        <x:v>Mapas y secuencia territorial</x:v>
      </x:c>
      <x:c r="R46" s="15" t="str">
        <x:v>Propuesta por correspondencia temática. Validar responsables y alcance dentro del entregable.</x:v>
      </x:c>
      <x:c r="S46" s="27" t="n">
        <x:f>IF(ISNUMBER(J46),0,1)</x:f>
        <x:v>1</x:v>
      </x:c>
      <x:c r="T46" s="43" t="n">
        <x:f>SUMIFS(Asignaciones!$G$6:$G$325,Asignaciones!$A$6:$A$325,A46)</x:f>
        <x:v>1</x:v>
      </x:c>
    </x:row>
    <x:row r="47" ht="72" customHeight="1">
      <x:c r="A47" s="15" t="str">
        <x:v>P7 / C3-A6</x:v>
      </x:c>
      <x:c r="B47" s="15" t="str">
        <x:v>C3</x:v>
      </x:c>
      <x:c r="C47" s="15" t="str">
        <x:v>P7</x:v>
      </x:c>
      <x:c r="D47" s="15" t="str">
        <x:v>C3-A6</x:v>
      </x:c>
      <x:c r="E47" s="15" t="str">
        <x:v>Contractual</x:v>
      </x:c>
      <x:c r="F47" s="15" t="str">
        <x:v>Diseño y aplicación de un modelo de análisis multicriterio basado en el Proceso de Redes Analíticas (ANP) para la priorización del portafolio, incorporando co-beneficios y criterios socioeconómicos clave.</x:v>
      </x:c>
      <x:c r="G47" s="21" t="str">
        <x:v>Diana Carolina Ríos Echeverri; Alejandro Silva Cortés; Sebastián Cartagena; Paola Andrea Ruiz Franco</x:v>
      </x:c>
      <x:c r="H47" s="21" t="str">
        <x:v>Personas desagregadas y ponderadas en Asignaciones</x:v>
      </x:c>
      <x:c r="I47" s="22" t="n">
        <x:v>0.17</x:v>
      </x:c>
      <x:c r="J47" s="29" t="str">
        <x:f>IF(SUMIFS(Asignaciones!$P$6:$P$325,Asignaciones!$A$6:$A$325,A47)&gt;0,"",SUMIFS(Asignaciones!$K$6:$K$325,Asignaciones!$A$6:$A$325,A47))</x:f>
      </x:c>
      <x:c r="K47" s="16" t="str">
        <x:f>IF(ISNUMBER(J47),I47*J47,"")</x:f>
      </x:c>
      <x:c r="L47" s="23"/>
      <x:c r="M47" s="21"/>
      <x:c r="N47" s="21"/>
      <x:c r="O47" s="15" t="n">
        <x:f>COUNTIFS(Tareas!$B$6:$B$1005,A47)</x:f>
        <x:v>0</x:v>
      </x:c>
      <x:c r="P47" s="15" t="str">
        <x:v>P7-A05</x:v>
      </x:c>
      <x:c r="Q47" s="15" t="str">
        <x:v>Matriz de viabilidad</x:v>
      </x:c>
      <x:c r="R47" s="15" t="str">
        <x:v>Propuesta por correspondencia temática. Validar responsables y alcance dentro del entregable.</x:v>
      </x:c>
      <x:c r="S47" s="27" t="n">
        <x:f>IF(ISNUMBER(J47),0,1)</x:f>
        <x:v>1</x:v>
      </x:c>
      <x:c r="T47" s="43" t="n">
        <x:f>SUMIFS(Asignaciones!$G$6:$G$325,Asignaciones!$A$6:$A$325,A47)</x:f>
        <x:v>1</x:v>
      </x:c>
    </x:row>
    <x:row r="48" ht="87" customHeight="1">
      <x:c r="A48" s="15" t="str">
        <x:v>P7 / C3-A7</x:v>
      </x:c>
      <x:c r="B48" s="15" t="str">
        <x:v>C3</x:v>
      </x:c>
      <x:c r="C48" s="15" t="str">
        <x:v>P7</x:v>
      </x:c>
      <x:c r="D48" s="15" t="str">
        <x:v>C3-A7</x:v>
      </x:c>
      <x:c r="E48" s="15" t="str">
        <x:v>Contractual</x:v>
      </x:c>
      <x:c r="F48" s="15" t="str">
        <x:v>Modelación de escenarios y trayectorias de descarbonización y resiliencia para la implementación en el corto, mediano y largo plazo a partir de los resultados del modelo ANP y herramientas de C40.</x:v>
      </x:c>
      <x:c r="G48" s="21" t="str">
        <x:v>Juliana Valencia; Jeiner de Jesús Castellanos Barliza; Marcos Arango Tamayo; Harlem Acevedo Agudelo; Vanessa García Leoz; Paola Andrea Ruiz Franco</x:v>
      </x:c>
      <x:c r="H48" s="21" t="str">
        <x:v>Personas desagregadas y ponderadas en Asignaciones</x:v>
      </x:c>
      <x:c r="I48" s="22" t="n">
        <x:v>0.255</x:v>
      </x:c>
      <x:c r="J48" s="29" t="str">
        <x:f>IF(SUMIFS(Asignaciones!$P$6:$P$325,Asignaciones!$A$6:$A$325,A48)&gt;0,"",SUMIFS(Asignaciones!$K$6:$K$325,Asignaciones!$A$6:$A$325,A48))</x:f>
      </x:c>
      <x:c r="K48" s="16" t="str">
        <x:f>IF(ISNUMBER(J48),I48*J48,"")</x:f>
      </x:c>
      <x:c r="L48" s="23"/>
      <x:c r="M48" s="21"/>
      <x:c r="N48" s="21"/>
      <x:c r="O48" s="15" t="n">
        <x:f>COUNTIFS(Tareas!$B$6:$B$1005,A48)</x:f>
        <x:v>0</x:v>
      </x:c>
      <x:c r="P48" s="15" t="str">
        <x:v>P7-A01; P7-A02; P7-A03; P7-A06</x:v>
      </x:c>
      <x:c r="Q48" s="15" t="str">
        <x:v>Documento de supuestos y escenarios
Trayectoria de mitigación
Trayectoria de adaptación y resiliencia
Borrador técnico completo de P7</x:v>
      </x:c>
      <x:c r="R48" s="15" t="str">
        <x:v>Propuesta por correspondencia temática. Validar responsables y alcance dentro del entregable.</x:v>
      </x:c>
      <x:c r="S48" s="27" t="n">
        <x:f>IF(ISNUMBER(J48),0,1)</x:f>
        <x:v>1</x:v>
      </x:c>
      <x:c r="T48" s="43" t="n">
        <x:f>SUMIFS(Asignaciones!$G$6:$G$325,Asignaciones!$A$6:$A$325,A48)</x:f>
        <x:v>1</x:v>
      </x:c>
    </x:row>
    <x:row r="49" ht="42" customHeight="1">
      <x:c r="A49" s="15" t="str">
        <x:v>P7 / R01</x:v>
      </x:c>
      <x:c r="B49" s="15" t="str">
        <x:v>C3</x:v>
      </x:c>
      <x:c r="C49" s="15" t="str">
        <x:v>P7</x:v>
      </x:c>
      <x:c r="D49" s="15" t="str">
        <x:v>R01</x:v>
      </x:c>
      <x:c r="E49" s="15" t="str">
        <x:v>Revisión y aval</x:v>
      </x:c>
      <x:c r="F49" s="15" t="str">
        <x:v>Revisar integralmente la calidad técnica, coherencia, trazabilidad contractual y suficiencia del entregable</x:v>
      </x:c>
      <x:c r="G49" s="21" t="str">
        <x:v>Guillermo Penagos; María José Suárez</x:v>
      </x:c>
      <x:c r="H49" s="21" t="str">
        <x:v>Personas desagregadas y ponderadas en Asignaciones</x:v>
      </x:c>
      <x:c r="I49" s="22" t="n">
        <x:v>0.1</x:v>
      </x:c>
      <x:c r="J49" s="29" t="str">
        <x:f>IF(SUMIFS(Asignaciones!$P$6:$P$325,Asignaciones!$A$6:$A$325,A49)&gt;0,"",SUMIFS(Asignaciones!$K$6:$K$325,Asignaciones!$A$6:$A$325,A49))</x:f>
      </x:c>
      <x:c r="K49" s="16" t="str">
        <x:f>IF(ISNUMBER(J49),I49*J49,"")</x:f>
      </x:c>
      <x:c r="L49" s="23"/>
      <x:c r="M49" s="21"/>
      <x:c r="N49" s="21"/>
      <x:c r="O49" s="15" t="n">
        <x:f>COUNTIFS(Tareas!$B$6:$B$1005,A49)</x:f>
        <x:v>0</x:v>
      </x:c>
      <x:c r="P49" s="15" t="str">
        <x:v>P7-R01</x:v>
      </x:c>
      <x:c r="Q49" s="15" t="str">
        <x:v>Concepto consolidado de revisión y aval</x:v>
      </x:c>
      <x:c r="R49" s="15" t="str">
        <x:v>Etapa de revisión del original. No es actividad contractual adicional.</x:v>
      </x:c>
      <x:c r="S49" s="27" t="n">
        <x:f>IF(ISNUMBER(J49),0,1)</x:f>
        <x:v>1</x:v>
      </x:c>
      <x:c r="T49" s="43" t="n">
        <x:f>SUMIFS(Asignaciones!$G$6:$G$325,Asignaciones!$A$6:$A$325,A49)</x:f>
        <x:v>1</x:v>
      </x:c>
    </x:row>
    <x:row r="50" ht="42" customHeight="1">
      <x:c r="A50" s="15" t="str">
        <x:v>P7 / R02</x:v>
      </x:c>
      <x:c r="B50" s="15" t="str">
        <x:v>C3</x:v>
      </x:c>
      <x:c r="C50" s="15" t="str">
        <x:v>P7</x:v>
      </x:c>
      <x:c r="D50" s="15" t="str">
        <x:v>R02</x:v>
      </x:c>
      <x:c r="E50" s="15" t="str">
        <x:v>Revisión final Secretaría</x:v>
      </x:c>
      <x:c r="F50" s="15" t="str">
        <x:v>Realizar la revisión final institucional y emitir observaciones o conformidad para el cierre del entregable</x:v>
      </x:c>
      <x:c r="G50" s="21" t="str">
        <x:v>Juana — Secretaría de Medio Ambiente</x:v>
      </x:c>
      <x:c r="H50" s="21" t="str">
        <x:v>Personas desagregadas y ponderadas en Asignaciones</x:v>
      </x:c>
      <x:c r="I50" s="22" t="n">
        <x:v>0.05</x:v>
      </x:c>
      <x:c r="J50" s="29" t="str">
        <x:f>IF(SUMIFS(Asignaciones!$P$6:$P$325,Asignaciones!$A$6:$A$325,A50)&gt;0,"",SUMIFS(Asignaciones!$K$6:$K$325,Asignaciones!$A$6:$A$325,A50))</x:f>
      </x:c>
      <x:c r="K50" s="16" t="str">
        <x:f>IF(ISNUMBER(J50),I50*J50,"")</x:f>
      </x:c>
      <x:c r="L50" s="23"/>
      <x:c r="M50" s="21"/>
      <x:c r="N50" s="21"/>
      <x:c r="O50" s="15" t="n">
        <x:f>COUNTIFS(Tareas!$B$6:$B$1005,A50)</x:f>
        <x:v>0</x:v>
      </x:c>
      <x:c r="P50" s="15" t="str">
        <x:v>P7-R02</x:v>
      </x:c>
      <x:c r="Q50" s="15" t="str">
        <x:v>Concepto u observaciones finales de la Secretaría</x:v>
      </x:c>
      <x:c r="R50" s="15" t="str">
        <x:v>Etapa de revisión del original. No es actividad contractual adicional.</x:v>
      </x:c>
      <x:c r="S50" s="27" t="n">
        <x:f>IF(ISNUMBER(J50),0,1)</x:f>
        <x:v>1</x:v>
      </x:c>
      <x:c r="T50" s="43" t="n">
        <x:f>SUMIFS(Asignaciones!$G$6:$G$325,Asignaciones!$A$6:$A$325,A50)</x:f>
        <x:v>1</x:v>
      </x:c>
    </x:row>
    <x:row r="51" ht="57" customHeight="1">
      <x:c r="A51" s="15" t="str">
        <x:v>P8 / C4-A1</x:v>
      </x:c>
      <x:c r="B51" s="15" t="str">
        <x:v>C4</x:v>
      </x:c>
      <x:c r="C51" s="15" t="str">
        <x:v>P8</x:v>
      </x:c>
      <x:c r="D51" s="15" t="str">
        <x:v>C4-A1</x:v>
      </x:c>
      <x:c r="E51" s="15" t="str">
        <x:v>Contractual</x:v>
      </x:c>
      <x:c r="F51" s="15" t="str">
        <x:v>Armonización del PAC con la Política Distrital de CTeI para la Sostenibilidad y el Plan Decenal de CTeI.</x:v>
      </x:c>
      <x:c r="G51" s="21" t="str">
        <x:v>Daniel González Montoya; Sebastián Cartagena; Paola Andrea Ruiz Franco</x:v>
      </x:c>
      <x:c r="H51" s="21" t="str">
        <x:v>Personas desagregadas y ponderadas en Asignaciones</x:v>
      </x:c>
      <x:c r="I51" s="22" t="n">
        <x:v>0.17</x:v>
      </x:c>
      <x:c r="J51" s="29" t="str">
        <x:f>IF(SUMIFS(Asignaciones!$P$6:$P$325,Asignaciones!$A$6:$A$325,A51)&gt;0,"",SUMIFS(Asignaciones!$K$6:$K$325,Asignaciones!$A$6:$A$325,A51))</x:f>
      </x:c>
      <x:c r="K51" s="16" t="str">
        <x:f>IF(ISNUMBER(J51),I51*J51,"")</x:f>
      </x:c>
      <x:c r="L51" s="23"/>
      <x:c r="M51" s="21"/>
      <x:c r="N51" s="21"/>
      <x:c r="O51" s="15" t="n">
        <x:f>COUNTIFS(Tareas!$B$6:$B$1005,A51)</x:f>
        <x:v>0</x:v>
      </x:c>
      <x:c r="P51" s="15" t="str">
        <x:v>P8-A01</x:v>
      </x:c>
      <x:c r="Q51" s="15" t="str">
        <x:v>Mapa documental e institucional</x:v>
      </x:c>
      <x:c r="R51" s="15" t="str">
        <x:v>Propuesta por correspondencia temática. Validar responsables y alcance dentro del entregable.</x:v>
      </x:c>
      <x:c r="S51" s="27" t="n">
        <x:f>IF(ISNUMBER(J51),0,1)</x:f>
        <x:v>1</x:v>
      </x:c>
      <x:c r="T51" s="43" t="n">
        <x:f>SUMIFS(Asignaciones!$G$6:$G$325,Asignaciones!$A$6:$A$325,A51)</x:f>
        <x:v>1</x:v>
      </x:c>
    </x:row>
    <x:row r="52" ht="72" customHeight="1">
      <x:c r="A52" s="15" t="str">
        <x:v>P8 / C4-A2</x:v>
      </x:c>
      <x:c r="B52" s="15" t="str">
        <x:v>C4</x:v>
      </x:c>
      <x:c r="C52" s="15" t="str">
        <x:v>P8</x:v>
      </x:c>
      <x:c r="D52" s="15" t="str">
        <x:v>C4-A2</x:v>
      </x:c>
      <x:c r="E52" s="15" t="str">
        <x:v>Contractual</x:v>
      </x:c>
      <x:c r="F52" s="15" t="str">
        <x:v>Identificación de retos climáticos susceptibles de ser abordados mediante innovación y tecnologías emergentes.</x:v>
      </x:c>
      <x:c r="G52" s="21" t="str">
        <x:v>Daniel González Montoya; Sebastián Cartagena; Luis Eduardo Vahos Hernández; Paola Andrea Ruiz Franco</x:v>
      </x:c>
      <x:c r="H52" s="21" t="str">
        <x:v>Personas desagregadas y ponderadas en Asignaciones</x:v>
      </x:c>
      <x:c r="I52" s="22" t="n">
        <x:v>0.17</x:v>
      </x:c>
      <x:c r="J52" s="29" t="str">
        <x:f>IF(SUMIFS(Asignaciones!$P$6:$P$325,Asignaciones!$A$6:$A$325,A52)&gt;0,"",SUMIFS(Asignaciones!$K$6:$K$325,Asignaciones!$A$6:$A$325,A52))</x:f>
      </x:c>
      <x:c r="K52" s="16" t="str">
        <x:f>IF(ISNUMBER(J52),I52*J52,"")</x:f>
      </x:c>
      <x:c r="L52" s="23"/>
      <x:c r="M52" s="21"/>
      <x:c r="N52" s="21"/>
      <x:c r="O52" s="15" t="n">
        <x:f>COUNTIFS(Tareas!$B$6:$B$1005,A52)</x:f>
        <x:v>0</x:v>
      </x:c>
      <x:c r="P52" s="15" t="str">
        <x:v>P8-A02</x:v>
      </x:c>
      <x:c r="Q52" s="15" t="str">
        <x:v>Portafolio de retos de innovación</x:v>
      </x:c>
      <x:c r="R52" s="15" t="str">
        <x:v>Propuesta por correspondencia temática. Validar responsables y alcance dentro del entregable.</x:v>
      </x:c>
      <x:c r="S52" s="27" t="n">
        <x:f>IF(ISNUMBER(J52),0,1)</x:f>
        <x:v>1</x:v>
      </x:c>
      <x:c r="T52" s="43" t="n">
        <x:f>SUMIFS(Asignaciones!$G$6:$G$325,Asignaciones!$A$6:$A$325,A52)</x:f>
        <x:v>1</x:v>
      </x:c>
    </x:row>
    <x:row r="53" ht="57" customHeight="1">
      <x:c r="A53" s="15" t="str">
        <x:v>P8 / C4-A3</x:v>
      </x:c>
      <x:c r="B53" s="15" t="str">
        <x:v>C4</x:v>
      </x:c>
      <x:c r="C53" s="15" t="str">
        <x:v>P8</x:v>
      </x:c>
      <x:c r="D53" s="15" t="str">
        <x:v>C4-A3</x:v>
      </x:c>
      <x:c r="E53" s="15" t="str">
        <x:v>Contractual</x:v>
      </x:c>
      <x:c r="F53" s="15" t="str">
        <x:v>Definición de mecanismos de articulación con el sistema de CTeI.</x:v>
      </x:c>
      <x:c r="G53" s="21" t="str">
        <x:v>Daniel González Montoya; Sebastián Cartagena; Liliana Restrepo; Paola Andrea Ruiz Franco</x:v>
      </x:c>
      <x:c r="H53" s="21" t="str">
        <x:v>Personas desagregadas y ponderadas en Asignaciones</x:v>
      </x:c>
      <x:c r="I53" s="22" t="n">
        <x:v>0.2125</x:v>
      </x:c>
      <x:c r="J53" s="29" t="str">
        <x:f>IF(SUMIFS(Asignaciones!$P$6:$P$325,Asignaciones!$A$6:$A$325,A53)&gt;0,"",SUMIFS(Asignaciones!$K$6:$K$325,Asignaciones!$A$6:$A$325,A53))</x:f>
      </x:c>
      <x:c r="K53" s="16" t="str">
        <x:f>IF(ISNUMBER(J53),I53*J53,"")</x:f>
      </x:c>
      <x:c r="L53" s="23"/>
      <x:c r="M53" s="21"/>
      <x:c r="N53" s="21"/>
      <x:c r="O53" s="15" t="n">
        <x:f>COUNTIFS(Tareas!$B$6:$B$1005,A53)</x:f>
        <x:v>0</x:v>
      </x:c>
      <x:c r="P53" s="15" t="str">
        <x:v>P8-A03; P8-A06</x:v>
      </x:c>
      <x:c r="Q53" s="15" t="str">
        <x:v>Modelo de articulación CTeI
Borrador técnico completo de P8</x:v>
      </x:c>
      <x:c r="R53" s="15" t="str">
        <x:v>Propuesta por correspondencia temática. Validar responsables y alcance dentro del entregable.</x:v>
      </x:c>
      <x:c r="S53" s="27" t="n">
        <x:f>IF(ISNUMBER(J53),0,1)</x:f>
        <x:v>1</x:v>
      </x:c>
      <x:c r="T53" s="43" t="n">
        <x:f>SUMIFS(Asignaciones!$G$6:$G$325,Asignaciones!$A$6:$A$325,A53)</x:f>
        <x:v>1</x:v>
      </x:c>
    </x:row>
    <x:row r="54" ht="57" customHeight="1">
      <x:c r="A54" s="15" t="str">
        <x:v>P8 / C4-A4</x:v>
      </x:c>
      <x:c r="B54" s="15" t="str">
        <x:v>C4</x:v>
      </x:c>
      <x:c r="C54" s="15" t="str">
        <x:v>P8</x:v>
      </x:c>
      <x:c r="D54" s="15" t="str">
        <x:v>C4-A4</x:v>
      </x:c>
      <x:c r="E54" s="15" t="str">
        <x:v>Contractual</x:v>
      </x:c>
      <x:c r="F54" s="15" t="str">
        <x:v>Diseño de estrategias para la apropiación social del conocimiento climático.</x:v>
      </x:c>
      <x:c r="G54" s="21" t="str">
        <x:v>Liliana Restrepo; Curaduría Museo; Daniel González Montoya; Paola Andrea Ruiz Franco</x:v>
      </x:c>
      <x:c r="H54" s="21" t="str">
        <x:v>Personas desagregadas y ponderadas en Asignaciones</x:v>
      </x:c>
      <x:c r="I54" s="22" t="n">
        <x:v>0.17</x:v>
      </x:c>
      <x:c r="J54" s="29" t="str">
        <x:f>IF(SUMIFS(Asignaciones!$P$6:$P$325,Asignaciones!$A$6:$A$325,A54)&gt;0,"",SUMIFS(Asignaciones!$K$6:$K$325,Asignaciones!$A$6:$A$325,A54))</x:f>
      </x:c>
      <x:c r="K54" s="16" t="str">
        <x:f>IF(ISNUMBER(J54),I54*J54,"")</x:f>
      </x:c>
      <x:c r="L54" s="23"/>
      <x:c r="M54" s="21"/>
      <x:c r="N54" s="21"/>
      <x:c r="O54" s="15" t="n">
        <x:f>COUNTIFS(Tareas!$B$6:$B$1005,A54)</x:f>
        <x:v>0</x:v>
      </x:c>
      <x:c r="P54" s="15" t="str">
        <x:v>P8-A04</x:v>
      </x:c>
      <x:c r="Q54" s="15" t="str">
        <x:v>Estrategia de apropiación social</x:v>
      </x:c>
      <x:c r="R54" s="15" t="str">
        <x:v>Propuesta por correspondencia temática. Validar responsables y alcance dentro del entregable.</x:v>
      </x:c>
      <x:c r="S54" s="27" t="n">
        <x:f>IF(ISNUMBER(J54),0,1)</x:f>
        <x:v>1</x:v>
      </x:c>
      <x:c r="T54" s="43" t="n">
        <x:f>SUMIFS(Asignaciones!$G$6:$G$325,Asignaciones!$A$6:$A$325,A54)</x:f>
        <x:v>1</x:v>
      </x:c>
    </x:row>
    <x:row r="55" ht="72" customHeight="1">
      <x:c r="A55" s="15" t="str">
        <x:v>P8 / C4-A5</x:v>
      </x:c>
      <x:c r="B55" s="15" t="str">
        <x:v>C4</x:v>
      </x:c>
      <x:c r="C55" s="15" t="str">
        <x:v>P8</x:v>
      </x:c>
      <x:c r="D55" s="15" t="str">
        <x:v>C4-A5</x:v>
      </x:c>
      <x:c r="E55" s="15" t="str">
        <x:v>Contractual</x:v>
      </x:c>
      <x:c r="F55" s="15" t="str">
        <x:v>Identificación de oportunidades para el uso de tecnologías de Cuarta Revolución Industrial en la gestión climática.</x:v>
      </x:c>
      <x:c r="G55" s="21" t="str">
        <x:v>Luis Eduardo Vahos Hernández; León Darío Orrego Espejo; Daniel González Montoya; Paola Andrea Ruiz Franco</x:v>
      </x:c>
      <x:c r="H55" s="21" t="str">
        <x:v>Personas desagregadas y ponderadas en Asignaciones</x:v>
      </x:c>
      <x:c r="I55" s="22" t="n">
        <x:v>0.1275</x:v>
      </x:c>
      <x:c r="J55" s="29" t="str">
        <x:f>IF(SUMIFS(Asignaciones!$P$6:$P$325,Asignaciones!$A$6:$A$325,A55)&gt;0,"",SUMIFS(Asignaciones!$K$6:$K$325,Asignaciones!$A$6:$A$325,A55))</x:f>
      </x:c>
      <x:c r="K55" s="16" t="str">
        <x:f>IF(ISNUMBER(J55),I55*J55,"")</x:f>
      </x:c>
      <x:c r="L55" s="23"/>
      <x:c r="M55" s="21"/>
      <x:c r="N55" s="21"/>
      <x:c r="O55" s="15" t="n">
        <x:f>COUNTIFS(Tareas!$B$6:$B$1005,A55)</x:f>
        <x:v>0</x:v>
      </x:c>
      <x:c r="P55" s="15" t="str">
        <x:v>P8-A05</x:v>
      </x:c>
      <x:c r="Q55" s="15" t="str">
        <x:v>Mapa de oportunidades tecnológicas</x:v>
      </x:c>
      <x:c r="R55" s="15" t="str">
        <x:v>Propuesta por correspondencia temática. Validar responsables y alcance dentro del entregable.</x:v>
      </x:c>
      <x:c r="S55" s="27" t="n">
        <x:f>IF(ISNUMBER(J55),0,1)</x:f>
        <x:v>1</x:v>
      </x:c>
      <x:c r="T55" s="43" t="n">
        <x:f>SUMIFS(Asignaciones!$G$6:$G$325,Asignaciones!$A$6:$A$325,A55)</x:f>
        <x:v>1</x:v>
      </x:c>
    </x:row>
    <x:row r="56" ht="42" customHeight="1">
      <x:c r="A56" s="15" t="str">
        <x:v>P8 / R01</x:v>
      </x:c>
      <x:c r="B56" s="15" t="str">
        <x:v>C4</x:v>
      </x:c>
      <x:c r="C56" s="15" t="str">
        <x:v>P8</x:v>
      </x:c>
      <x:c r="D56" s="15" t="str">
        <x:v>R01</x:v>
      </x:c>
      <x:c r="E56" s="15" t="str">
        <x:v>Revisión y aval</x:v>
      </x:c>
      <x:c r="F56" s="15" t="str">
        <x:v>Revisar integralmente la calidad técnica, coherencia, trazabilidad contractual y suficiencia del entregable</x:v>
      </x:c>
      <x:c r="G56" s="21" t="str">
        <x:v>Guillermo Penagos; María José Suárez</x:v>
      </x:c>
      <x:c r="H56" s="21" t="str">
        <x:v>Personas desagregadas y ponderadas en Asignaciones</x:v>
      </x:c>
      <x:c r="I56" s="22" t="n">
        <x:v>0.1</x:v>
      </x:c>
      <x:c r="J56" s="29" t="str">
        <x:f>IF(SUMIFS(Asignaciones!$P$6:$P$325,Asignaciones!$A$6:$A$325,A56)&gt;0,"",SUMIFS(Asignaciones!$K$6:$K$325,Asignaciones!$A$6:$A$325,A56))</x:f>
      </x:c>
      <x:c r="K56" s="16" t="str">
        <x:f>IF(ISNUMBER(J56),I56*J56,"")</x:f>
      </x:c>
      <x:c r="L56" s="23"/>
      <x:c r="M56" s="21"/>
      <x:c r="N56" s="21"/>
      <x:c r="O56" s="15" t="n">
        <x:f>COUNTIFS(Tareas!$B$6:$B$1005,A56)</x:f>
        <x:v>0</x:v>
      </x:c>
      <x:c r="P56" s="15" t="str">
        <x:v>P8-R01</x:v>
      </x:c>
      <x:c r="Q56" s="15" t="str">
        <x:v>Concepto consolidado de revisión y aval</x:v>
      </x:c>
      <x:c r="R56" s="15" t="str">
        <x:v>Etapa de revisión del original. No es actividad contractual adicional.</x:v>
      </x:c>
      <x:c r="S56" s="27" t="n">
        <x:f>IF(ISNUMBER(J56),0,1)</x:f>
        <x:v>1</x:v>
      </x:c>
      <x:c r="T56" s="43" t="n">
        <x:f>SUMIFS(Asignaciones!$G$6:$G$325,Asignaciones!$A$6:$A$325,A56)</x:f>
        <x:v>1</x:v>
      </x:c>
    </x:row>
    <x:row r="57" ht="42" customHeight="1">
      <x:c r="A57" s="15" t="str">
        <x:v>P8 / R02</x:v>
      </x:c>
      <x:c r="B57" s="15" t="str">
        <x:v>C4</x:v>
      </x:c>
      <x:c r="C57" s="15" t="str">
        <x:v>P8</x:v>
      </x:c>
      <x:c r="D57" s="15" t="str">
        <x:v>R02</x:v>
      </x:c>
      <x:c r="E57" s="15" t="str">
        <x:v>Revisión final Secretaría</x:v>
      </x:c>
      <x:c r="F57" s="15" t="str">
        <x:v>Realizar la revisión final institucional y emitir observaciones o conformidad para el cierre del entregable</x:v>
      </x:c>
      <x:c r="G57" s="21" t="str">
        <x:v>Juana — Secretaría de Medio Ambiente</x:v>
      </x:c>
      <x:c r="H57" s="21" t="str">
        <x:v>Personas desagregadas y ponderadas en Asignaciones</x:v>
      </x:c>
      <x:c r="I57" s="22" t="n">
        <x:v>0.05</x:v>
      </x:c>
      <x:c r="J57" s="29" t="str">
        <x:f>IF(SUMIFS(Asignaciones!$P$6:$P$325,Asignaciones!$A$6:$A$325,A57)&gt;0,"",SUMIFS(Asignaciones!$K$6:$K$325,Asignaciones!$A$6:$A$325,A57))</x:f>
      </x:c>
      <x:c r="K57" s="16" t="str">
        <x:f>IF(ISNUMBER(J57),I57*J57,"")</x:f>
      </x:c>
      <x:c r="L57" s="23"/>
      <x:c r="M57" s="21"/>
      <x:c r="N57" s="21"/>
      <x:c r="O57" s="15" t="n">
        <x:f>COUNTIFS(Tareas!$B$6:$B$1005,A57)</x:f>
        <x:v>0</x:v>
      </x:c>
      <x:c r="P57" s="15" t="str">
        <x:v>P8-R02</x:v>
      </x:c>
      <x:c r="Q57" s="15" t="str">
        <x:v>Concepto u observaciones finales de la Secretaría</x:v>
      </x:c>
      <x:c r="R57" s="15" t="str">
        <x:v>Etapa de revisión del original. No es actividad contractual adicional.</x:v>
      </x:c>
      <x:c r="S57" s="27" t="n">
        <x:f>IF(ISNUMBER(J57),0,1)</x:f>
        <x:v>1</x:v>
      </x:c>
      <x:c r="T57" s="43" t="n">
        <x:f>SUMIFS(Asignaciones!$G$6:$G$325,Asignaciones!$A$6:$A$325,A57)</x:f>
        <x:v>1</x:v>
      </x:c>
    </x:row>
    <x:row r="58" ht="57" customHeight="1">
      <x:c r="A58" s="15" t="str">
        <x:v>P9 / C4-A3</x:v>
      </x:c>
      <x:c r="B58" s="15" t="str">
        <x:v>C4</x:v>
      </x:c>
      <x:c r="C58" s="15" t="str">
        <x:v>P9</x:v>
      </x:c>
      <x:c r="D58" s="15" t="str">
        <x:v>C4-A3</x:v>
      </x:c>
      <x:c r="E58" s="15" t="str">
        <x:v>Contractual</x:v>
      </x:c>
      <x:c r="F58" s="15" t="str">
        <x:v>Definición de mecanismos de articulación con el sistema de CTeI.</x:v>
      </x:c>
      <x:c r="G58" s="21" t="str">
        <x:v>León Darío Orrego Espejo; Daniel González Montoya; Sebastián Cartagena; Paola Andrea Ruiz Franco</x:v>
      </x:c>
      <x:c r="H58" s="21" t="str">
        <x:v>Personas desagregadas y ponderadas en Asignaciones</x:v>
      </x:c>
      <x:c r="I58" s="22" t="n">
        <x:v>0.17</x:v>
      </x:c>
      <x:c r="J58" s="29" t="str">
        <x:f>IF(SUMIFS(Asignaciones!$P$6:$P$325,Asignaciones!$A$6:$A$325,A58)&gt;0,"",SUMIFS(Asignaciones!$K$6:$K$325,Asignaciones!$A$6:$A$325,A58))</x:f>
      </x:c>
      <x:c r="K58" s="16" t="str">
        <x:f>IF(ISNUMBER(J58),I58*J58,"")</x:f>
      </x:c>
      <x:c r="L58" s="23"/>
      <x:c r="M58" s="21"/>
      <x:c r="N58" s="21"/>
      <x:c r="O58" s="15" t="n">
        <x:f>COUNTIFS(Tareas!$B$6:$B$1005,A58)</x:f>
        <x:v>0</x:v>
      </x:c>
      <x:c r="P58" s="15" t="str">
        <x:v>P9-A01; P9-A02</x:v>
      </x:c>
      <x:c r="Q58" s="15" t="str">
        <x:v>Matriz de requerimientos
Modelo de gobierno de datos</x:v>
      </x:c>
      <x:c r="R58" s="15" t="str">
        <x:v>Propuesta por correspondencia temática. Validar responsables y alcance dentro del entregable.</x:v>
      </x:c>
      <x:c r="S58" s="27" t="n">
        <x:f>IF(ISNUMBER(J58),0,1)</x:f>
        <x:v>1</x:v>
      </x:c>
      <x:c r="T58" s="43" t="n">
        <x:f>SUMIFS(Asignaciones!$G$6:$G$325,Asignaciones!$A$6:$A$325,A58)</x:f>
        <x:v>1</x:v>
      </x:c>
    </x:row>
    <x:row r="59" ht="72" customHeight="1">
      <x:c r="A59" s="15" t="str">
        <x:v>P9 / C4-A5</x:v>
      </x:c>
      <x:c r="B59" s="15" t="str">
        <x:v>C4</x:v>
      </x:c>
      <x:c r="C59" s="15" t="str">
        <x:v>P9</x:v>
      </x:c>
      <x:c r="D59" s="15" t="str">
        <x:v>C4-A5</x:v>
      </x:c>
      <x:c r="E59" s="15" t="str">
        <x:v>Contractual</x:v>
      </x:c>
      <x:c r="F59" s="15" t="str">
        <x:v>Identificación de oportunidades para el uso de tecnologías de Cuarta Revolución Industrial en la gestión climática.</x:v>
      </x:c>
      <x:c r="G59" s="21" t="str">
        <x:v>Luis Eduardo Vahos Hernández; León Darío Orrego Espejo; Daniel González Montoya; Paola Andrea Ruiz Franco</x:v>
      </x:c>
      <x:c r="H59" s="21" t="str">
        <x:v>Personas desagregadas y ponderadas en Asignaciones</x:v>
      </x:c>
      <x:c r="I59" s="22" t="n">
        <x:v>0.17</x:v>
      </x:c>
      <x:c r="J59" s="29" t="str">
        <x:f>IF(SUMIFS(Asignaciones!$P$6:$P$325,Asignaciones!$A$6:$A$325,A59)&gt;0,"",SUMIFS(Asignaciones!$K$6:$K$325,Asignaciones!$A$6:$A$325,A59))</x:f>
      </x:c>
      <x:c r="K59" s="16" t="str">
        <x:f>IF(ISNUMBER(J59),I59*J59,"")</x:f>
      </x:c>
      <x:c r="L59" s="23"/>
      <x:c r="M59" s="21"/>
      <x:c r="N59" s="21"/>
      <x:c r="O59" s="15" t="n">
        <x:f>COUNTIFS(Tareas!$B$6:$B$1005,A59)</x:f>
        <x:v>0</x:v>
      </x:c>
      <x:c r="P59" s="15" t="str">
        <x:v>P9-A03</x:v>
      </x:c>
      <x:c r="Q59" s="15" t="str">
        <x:v>Arquitectura y flujos de datos</x:v>
      </x:c>
      <x:c r="R59" s="15" t="str">
        <x:v>Propuesta por correspondencia temática. Validar responsables y alcance dentro del entregable.</x:v>
      </x:c>
      <x:c r="S59" s="27" t="n">
        <x:f>IF(ISNUMBER(J59),0,1)</x:f>
        <x:v>1</x:v>
      </x:c>
      <x:c r="T59" s="43" t="n">
        <x:f>SUMIFS(Asignaciones!$G$6:$G$325,Asignaciones!$A$6:$A$325,A59)</x:f>
        <x:v>1</x:v>
      </x:c>
    </x:row>
    <x:row r="60" ht="72" customHeight="1">
      <x:c r="A60" s="15" t="str">
        <x:v>P9 / C4-A6</x:v>
      </x:c>
      <x:c r="B60" s="15" t="str">
        <x:v>C4</x:v>
      </x:c>
      <x:c r="C60" s="15" t="str">
        <x:v>P9</x:v>
      </x:c>
      <x:c r="D60" s="15" t="str">
        <x:v>C4-A6</x:v>
      </x:c>
      <x:c r="E60" s="15" t="str">
        <x:v>Contractual</x:v>
      </x:c>
      <x:c r="F60" s="15" t="str">
        <x:v>Desarrollo de herramientas para la integración del PAC con la estrategia del Plan Maestro Distrito Inteligente, relacionadas con plataformas de seguimiento de datos y asistentes inteligentes para la consulta de información.</x:v>
      </x:c>
      <x:c r="G60" s="21" t="str">
        <x:v>Luis Eduardo Vahos Hernández; León Darío Orrego Espejo; Daniel González Montoya; Paola Andrea Ruiz Franco</x:v>
      </x:c>
      <x:c r="H60" s="21" t="str">
        <x:v>Personas desagregadas y ponderadas en Asignaciones</x:v>
      </x:c>
      <x:c r="I60" s="22" t="n">
        <x:v>0.51</x:v>
      </x:c>
      <x:c r="J60" s="29" t="str">
        <x:f>IF(SUMIFS(Asignaciones!$P$6:$P$325,Asignaciones!$A$6:$A$325,A60)&gt;0,"",SUMIFS(Asignaciones!$K$6:$K$325,Asignaciones!$A$6:$A$325,A60))</x:f>
      </x:c>
      <x:c r="K60" s="16" t="str">
        <x:f>IF(ISNUMBER(J60),I60*J60,"")</x:f>
      </x:c>
      <x:c r="L60" s="23"/>
      <x:c r="M60" s="21"/>
      <x:c r="N60" s="21"/>
      <x:c r="O60" s="15" t="n">
        <x:f>COUNTIFS(Tareas!$B$6:$B$1005,A60)</x:f>
        <x:v>0</x:v>
      </x:c>
      <x:c r="P60" s="15" t="str">
        <x:v>P9-A04; P9-A05; P9-A06</x:v>
      </x:c>
      <x:c r="Q60" s="15" t="str">
        <x:v>Catálogo de indicadores y prototipo
Protocolos de datos
Documento técnico y pruebas de P9</x:v>
      </x:c>
      <x:c r="R60" s="15" t="str">
        <x:v>Propuesta por correspondencia temática. Validar responsables y alcance dentro del entregable.</x:v>
      </x:c>
      <x:c r="S60" s="27" t="n">
        <x:f>IF(ISNUMBER(J60),0,1)</x:f>
        <x:v>1</x:v>
      </x:c>
      <x:c r="T60" s="43" t="n">
        <x:f>SUMIFS(Asignaciones!$G$6:$G$325,Asignaciones!$A$6:$A$325,A60)</x:f>
        <x:v>1</x:v>
      </x:c>
    </x:row>
    <x:row r="61" ht="42" customHeight="1">
      <x:c r="A61" s="15" t="str">
        <x:v>P9 / R01</x:v>
      </x:c>
      <x:c r="B61" s="15" t="str">
        <x:v>C4</x:v>
      </x:c>
      <x:c r="C61" s="15" t="str">
        <x:v>P9</x:v>
      </x:c>
      <x:c r="D61" s="15" t="str">
        <x:v>R01</x:v>
      </x:c>
      <x:c r="E61" s="15" t="str">
        <x:v>Revisión y aval</x:v>
      </x:c>
      <x:c r="F61" s="15" t="str">
        <x:v>Revisar integralmente la calidad técnica, coherencia, trazabilidad contractual y suficiencia del entregable</x:v>
      </x:c>
      <x:c r="G61" s="21" t="str">
        <x:v>Guillermo Penagos; María José Suárez</x:v>
      </x:c>
      <x:c r="H61" s="21" t="str">
        <x:v>Personas desagregadas y ponderadas en Asignaciones</x:v>
      </x:c>
      <x:c r="I61" s="22" t="n">
        <x:v>0.1</x:v>
      </x:c>
      <x:c r="J61" s="29" t="str">
        <x:f>IF(SUMIFS(Asignaciones!$P$6:$P$325,Asignaciones!$A$6:$A$325,A61)&gt;0,"",SUMIFS(Asignaciones!$K$6:$K$325,Asignaciones!$A$6:$A$325,A61))</x:f>
      </x:c>
      <x:c r="K61" s="16" t="str">
        <x:f>IF(ISNUMBER(J61),I61*J61,"")</x:f>
      </x:c>
      <x:c r="L61" s="23"/>
      <x:c r="M61" s="21"/>
      <x:c r="N61" s="21"/>
      <x:c r="O61" s="15" t="n">
        <x:f>COUNTIFS(Tareas!$B$6:$B$1005,A61)</x:f>
        <x:v>0</x:v>
      </x:c>
      <x:c r="P61" s="15" t="str">
        <x:v>P9-R01</x:v>
      </x:c>
      <x:c r="Q61" s="15" t="str">
        <x:v>Concepto consolidado de revisión y aval</x:v>
      </x:c>
      <x:c r="R61" s="15" t="str">
        <x:v>Etapa de revisión del original. No es actividad contractual adicional.</x:v>
      </x:c>
      <x:c r="S61" s="27" t="n">
        <x:f>IF(ISNUMBER(J61),0,1)</x:f>
        <x:v>1</x:v>
      </x:c>
      <x:c r="T61" s="43" t="n">
        <x:f>SUMIFS(Asignaciones!$G$6:$G$325,Asignaciones!$A$6:$A$325,A61)</x:f>
        <x:v>1</x:v>
      </x:c>
    </x:row>
    <x:row r="62" ht="42" customHeight="1">
      <x:c r="A62" s="15" t="str">
        <x:v>P9 / R02</x:v>
      </x:c>
      <x:c r="B62" s="15" t="str">
        <x:v>C4</x:v>
      </x:c>
      <x:c r="C62" s="15" t="str">
        <x:v>P9</x:v>
      </x:c>
      <x:c r="D62" s="15" t="str">
        <x:v>R02</x:v>
      </x:c>
      <x:c r="E62" s="15" t="str">
        <x:v>Revisión final Secretaría</x:v>
      </x:c>
      <x:c r="F62" s="15" t="str">
        <x:v>Realizar la revisión final institucional y emitir observaciones o conformidad para el cierre del entregable</x:v>
      </x:c>
      <x:c r="G62" s="21" t="str">
        <x:v>Juana — Secretaría de Medio Ambiente</x:v>
      </x:c>
      <x:c r="H62" s="21" t="str">
        <x:v>Personas desagregadas y ponderadas en Asignaciones</x:v>
      </x:c>
      <x:c r="I62" s="22" t="n">
        <x:v>0.05</x:v>
      </x:c>
      <x:c r="J62" s="29" t="str">
        <x:f>IF(SUMIFS(Asignaciones!$P$6:$P$325,Asignaciones!$A$6:$A$325,A62)&gt;0,"",SUMIFS(Asignaciones!$K$6:$K$325,Asignaciones!$A$6:$A$325,A62))</x:f>
      </x:c>
      <x:c r="K62" s="16" t="str">
        <x:f>IF(ISNUMBER(J62),I62*J62,"")</x:f>
      </x:c>
      <x:c r="L62" s="23"/>
      <x:c r="M62" s="21"/>
      <x:c r="N62" s="21"/>
      <x:c r="O62" s="15" t="n">
        <x:f>COUNTIFS(Tareas!$B$6:$B$1005,A62)</x:f>
        <x:v>0</x:v>
      </x:c>
      <x:c r="P62" s="15" t="str">
        <x:v>P9-R02</x:v>
      </x:c>
      <x:c r="Q62" s="15" t="str">
        <x:v>Concepto u observaciones finales de la Secretaría</x:v>
      </x:c>
      <x:c r="R62" s="15" t="str">
        <x:v>Etapa de revisión del original. No es actividad contractual adicional.</x:v>
      </x:c>
      <x:c r="S62" s="27" t="n">
        <x:f>IF(ISNUMBER(J62),0,1)</x:f>
        <x:v>1</x:v>
      </x:c>
      <x:c r="T62" s="43" t="n">
        <x:f>SUMIFS(Asignaciones!$G$6:$G$325,Asignaciones!$A$6:$A$325,A62)</x:f>
        <x:v>1</x:v>
      </x:c>
    </x:row>
    <x:row r="63" ht="57" customHeight="1">
      <x:c r="A63" s="15" t="str">
        <x:v>P10 / C4-A5</x:v>
      </x:c>
      <x:c r="B63" s="15" t="str">
        <x:v>C4</x:v>
      </x:c>
      <x:c r="C63" s="15" t="str">
        <x:v>P10</x:v>
      </x:c>
      <x:c r="D63" s="15" t="str">
        <x:v>C4-A5</x:v>
      </x:c>
      <x:c r="E63" s="15" t="str">
        <x:v>Contractual</x:v>
      </x:c>
      <x:c r="F63" s="15" t="str">
        <x:v>Identificación de oportunidades para el uso de tecnologías de Cuarta Revolución Industrial en la gestión climática.</x:v>
      </x:c>
      <x:c r="G63" s="21" t="str">
        <x:v>Luis Eduardo Vahos Hernández; León Darío Orrego Espejo; Paola Andrea Ruiz Franco</x:v>
      </x:c>
      <x:c r="H63" s="21" t="str">
        <x:v>Personas desagregadas y ponderadas en Asignaciones</x:v>
      </x:c>
      <x:c r="I63" s="22" t="n">
        <x:v>0.255</x:v>
      </x:c>
      <x:c r="J63" s="29" t="str">
        <x:f>IF(SUMIFS(Asignaciones!$P$6:$P$325,Asignaciones!$A$6:$A$325,A63)&gt;0,"",SUMIFS(Asignaciones!$K$6:$K$325,Asignaciones!$A$6:$A$325,A63))</x:f>
      </x:c>
      <x:c r="K63" s="16" t="str">
        <x:f>IF(ISNUMBER(J63),I63*J63,"")</x:f>
      </x:c>
      <x:c r="L63" s="23"/>
      <x:c r="M63" s="21"/>
      <x:c r="N63" s="21"/>
      <x:c r="O63" s="15" t="n">
        <x:f>COUNTIFS(Tareas!$B$6:$B$1005,A63)</x:f>
        <x:v>0</x:v>
      </x:c>
      <x:c r="P63" s="15" t="str">
        <x:v>P10-A03</x:v>
      </x:c>
      <x:c r="Q63" s="15" t="str">
        <x:v>Diseño funcional y técnico</x:v>
      </x:c>
      <x:c r="R63" s="15" t="str">
        <x:v>Propuesta por correspondencia temática. Validar responsables y alcance dentro del entregable.</x:v>
      </x:c>
      <x:c r="S63" s="27" t="n">
        <x:f>IF(ISNUMBER(J63),0,1)</x:f>
        <x:v>1</x:v>
      </x:c>
      <x:c r="T63" s="43" t="n">
        <x:f>SUMIFS(Asignaciones!$G$6:$G$325,Asignaciones!$A$6:$A$325,A63)</x:f>
        <x:v>1</x:v>
      </x:c>
    </x:row>
    <x:row r="64" ht="87" customHeight="1">
      <x:c r="A64" s="15" t="str">
        <x:v>P10 / C4-A6</x:v>
      </x:c>
      <x:c r="B64" s="15" t="str">
        <x:v>C4</x:v>
      </x:c>
      <x:c r="C64" s="15" t="str">
        <x:v>P10</x:v>
      </x:c>
      <x:c r="D64" s="15" t="str">
        <x:v>C4-A6</x:v>
      </x:c>
      <x:c r="E64" s="15" t="str">
        <x:v>Contractual</x:v>
      </x:c>
      <x:c r="F64" s="15" t="str">
        <x:v>Desarrollo de herramientas para la integración del PAC con la estrategia del Plan Maestro Distrito Inteligente, relacionadas con plataformas de seguimiento de datos y asistentes inteligentes para la consulta de información.</x:v>
      </x:c>
      <x:c r="G64" s="21" t="str">
        <x:v>Luis Eduardo Vahos Hernández; León Darío Orrego Espejo; Daniel González Montoya; Sebastián Cartagena; Liliana Restrepo; Paola Andrea Ruiz Franco</x:v>
      </x:c>
      <x:c r="H64" s="21" t="str">
        <x:v>Personas desagregadas y ponderadas en Asignaciones</x:v>
      </x:c>
      <x:c r="I64" s="22" t="n">
        <x:v>0.595</x:v>
      </x:c>
      <x:c r="J64" s="29" t="str">
        <x:f>IF(SUMIFS(Asignaciones!$P$6:$P$325,Asignaciones!$A$6:$A$325,A64)&gt;0,"",SUMIFS(Asignaciones!$K$6:$K$325,Asignaciones!$A$6:$A$325,A64))</x:f>
      </x:c>
      <x:c r="K64" s="16" t="str">
        <x:f>IF(ISNUMBER(J64),I64*J64,"")</x:f>
      </x:c>
      <x:c r="L64" s="23"/>
      <x:c r="M64" s="21"/>
      <x:c r="N64" s="21"/>
      <x:c r="O64" s="15" t="n">
        <x:f>COUNTIFS(Tareas!$B$6:$B$1005,A64)</x:f>
        <x:v>0</x:v>
      </x:c>
      <x:c r="P64" s="15" t="str">
        <x:v>P10-A01; P10-A02; P10-A04; P10-A05; P10-A06</x:v>
      </x:c>
      <x:c r="Q64" s="15" t="str">
        <x:v>Catálogo de casos de uso
Inventario y modelo de fuentes
Prototipo funcional
Informe de pruebas y ajustes
Documentación completa de P10</x:v>
      </x:c>
      <x:c r="R64" s="15" t="str">
        <x:v>Propuesta por correspondencia temática. Validar responsables y alcance dentro del entregable.</x:v>
      </x:c>
      <x:c r="S64" s="27" t="n">
        <x:f>IF(ISNUMBER(J64),0,1)</x:f>
        <x:v>1</x:v>
      </x:c>
      <x:c r="T64" s="43" t="n">
        <x:f>SUMIFS(Asignaciones!$G$6:$G$325,Asignaciones!$A$6:$A$325,A64)</x:f>
        <x:v>0.9999999999999999</x:v>
      </x:c>
    </x:row>
    <x:row r="65" ht="42" customHeight="1">
      <x:c r="A65" s="15" t="str">
        <x:v>P10 / R01</x:v>
      </x:c>
      <x:c r="B65" s="15" t="str">
        <x:v>C4</x:v>
      </x:c>
      <x:c r="C65" s="15" t="str">
        <x:v>P10</x:v>
      </x:c>
      <x:c r="D65" s="15" t="str">
        <x:v>R01</x:v>
      </x:c>
      <x:c r="E65" s="15" t="str">
        <x:v>Revisión y aval</x:v>
      </x:c>
      <x:c r="F65" s="15" t="str">
        <x:v>Revisar integralmente la calidad técnica, coherencia, trazabilidad contractual y suficiencia del entregable</x:v>
      </x:c>
      <x:c r="G65" s="21" t="str">
        <x:v>Guillermo Penagos; María José Suárez</x:v>
      </x:c>
      <x:c r="H65" s="21" t="str">
        <x:v>Personas desagregadas y ponderadas en Asignaciones</x:v>
      </x:c>
      <x:c r="I65" s="22" t="n">
        <x:v>0.1</x:v>
      </x:c>
      <x:c r="J65" s="29" t="str">
        <x:f>IF(SUMIFS(Asignaciones!$P$6:$P$325,Asignaciones!$A$6:$A$325,A65)&gt;0,"",SUMIFS(Asignaciones!$K$6:$K$325,Asignaciones!$A$6:$A$325,A65))</x:f>
      </x:c>
      <x:c r="K65" s="16" t="str">
        <x:f>IF(ISNUMBER(J65),I65*J65,"")</x:f>
      </x:c>
      <x:c r="L65" s="23"/>
      <x:c r="M65" s="21"/>
      <x:c r="N65" s="21"/>
      <x:c r="O65" s="15" t="n">
        <x:f>COUNTIFS(Tareas!$B$6:$B$1005,A65)</x:f>
        <x:v>0</x:v>
      </x:c>
      <x:c r="P65" s="15" t="str">
        <x:v>P10-R01</x:v>
      </x:c>
      <x:c r="Q65" s="15" t="str">
        <x:v>Concepto consolidado de revisión y aval</x:v>
      </x:c>
      <x:c r="R65" s="15" t="str">
        <x:v>Etapa de revisión del original. No es actividad contractual adicional.</x:v>
      </x:c>
      <x:c r="S65" s="27" t="n">
        <x:f>IF(ISNUMBER(J65),0,1)</x:f>
        <x:v>1</x:v>
      </x:c>
      <x:c r="T65" s="43" t="n">
        <x:f>SUMIFS(Asignaciones!$G$6:$G$325,Asignaciones!$A$6:$A$325,A65)</x:f>
        <x:v>1</x:v>
      </x:c>
    </x:row>
    <x:row r="66" ht="42" customHeight="1">
      <x:c r="A66" s="15" t="str">
        <x:v>P10 / R02</x:v>
      </x:c>
      <x:c r="B66" s="15" t="str">
        <x:v>C4</x:v>
      </x:c>
      <x:c r="C66" s="15" t="str">
        <x:v>P10</x:v>
      </x:c>
      <x:c r="D66" s="15" t="str">
        <x:v>R02</x:v>
      </x:c>
      <x:c r="E66" s="15" t="str">
        <x:v>Revisión final Secretaría</x:v>
      </x:c>
      <x:c r="F66" s="15" t="str">
        <x:v>Realizar la revisión final institucional y emitir observaciones o conformidad para el cierre del entregable</x:v>
      </x:c>
      <x:c r="G66" s="21" t="str">
        <x:v>Juana — Secretaría de Medio Ambiente</x:v>
      </x:c>
      <x:c r="H66" s="21" t="str">
        <x:v>Personas desagregadas y ponderadas en Asignaciones</x:v>
      </x:c>
      <x:c r="I66" s="22" t="n">
        <x:v>0.05</x:v>
      </x:c>
      <x:c r="J66" s="29" t="str">
        <x:f>IF(SUMIFS(Asignaciones!$P$6:$P$325,Asignaciones!$A$6:$A$325,A66)&gt;0,"",SUMIFS(Asignaciones!$K$6:$K$325,Asignaciones!$A$6:$A$325,A66))</x:f>
      </x:c>
      <x:c r="K66" s="16" t="str">
        <x:f>IF(ISNUMBER(J66),I66*J66,"")</x:f>
      </x:c>
      <x:c r="L66" s="23"/>
      <x:c r="M66" s="21"/>
      <x:c r="N66" s="21"/>
      <x:c r="O66" s="15" t="n">
        <x:f>COUNTIFS(Tareas!$B$6:$B$1005,A66)</x:f>
        <x:v>0</x:v>
      </x:c>
      <x:c r="P66" s="15" t="str">
        <x:v>P10-R02</x:v>
      </x:c>
      <x:c r="Q66" s="15" t="str">
        <x:v>Concepto u observaciones finales de la Secretaría</x:v>
      </x:c>
      <x:c r="R66" s="15" t="str">
        <x:v>Etapa de revisión del original. No es actividad contractual adicional.</x:v>
      </x:c>
      <x:c r="S66" s="27" t="n">
        <x:f>IF(ISNUMBER(J66),0,1)</x:f>
        <x:v>1</x:v>
      </x:c>
      <x:c r="T66" s="43" t="n">
        <x:f>SUMIFS(Asignaciones!$G$6:$G$325,Asignaciones!$A$6:$A$325,A66)</x:f>
        <x:v>1</x:v>
      </x:c>
    </x:row>
    <x:row r="67" ht="117" customHeight="1">
      <x:c r="A67" s="15" t="str">
        <x:v>P11 / C5-A1</x:v>
      </x:c>
      <x:c r="B67" s="15" t="str">
        <x:v>C5</x:v>
      </x:c>
      <x:c r="C67" s="15" t="str">
        <x:v>P11</x:v>
      </x:c>
      <x:c r="D67" s="15" t="str">
        <x:v>C5-A1</x:v>
      </x:c>
      <x:c r="E67" s="15" t="str">
        <x:v>Contractual</x:v>
      </x:c>
      <x:c r="F67" s="15" t="str">
        <x:v>Identificación de análisis de barreras, riesgos y gestión de la implementación, incluidos cuellos de botella normativos, técnicos, institucionales, políticos o de apropiación social y estrategias de mitigación del riesgo.</x:v>
      </x:c>
      <x:c r="G67" s="21" t="str">
        <x:v>Juliana Valencia; Marcos Arango Tamayo; Diana Carolina Ríos Echeverri; Vanessa García Leoz; Alejandro Silva Cortés; Sebastián Cartagena; Jeiner de Jesús Castellanos Barliza; Liliana Restrepo; Paola Andrea Ruiz Franco</x:v>
      </x:c>
      <x:c r="H67" s="21" t="str">
        <x:v>Personas desagregadas y ponderadas en Asignaciones</x:v>
      </x:c>
      <x:c r="I67" s="22" t="n">
        <x:v>0.85</x:v>
      </x:c>
      <x:c r="J67" s="29" t="str">
        <x:f>IF(SUMIFS(Asignaciones!$P$6:$P$325,Asignaciones!$A$6:$A$325,A67)&gt;0,"",SUMIFS(Asignaciones!$K$6:$K$325,Asignaciones!$A$6:$A$325,A67))</x:f>
      </x:c>
      <x:c r="K67" s="16" t="str">
        <x:f>IF(ISNUMBER(J67),I67*J67,"")</x:f>
      </x:c>
      <x:c r="L67" s="23"/>
      <x:c r="M67" s="21"/>
      <x:c r="N67" s="21"/>
      <x:c r="O67" s="15" t="n">
        <x:f>COUNTIFS(Tareas!$B$6:$B$1005,A67)</x:f>
        <x:v>0</x:v>
      </x:c>
      <x:c r="P67" s="15" t="str">
        <x:v>P11-A01; P11-A02; P11-A03; P11-A04; P11-A05; P11-A06</x:v>
      </x:c>
      <x:c r="Q67" s="15" t="str">
        <x:v>Metodología de valoración
Matriz de barreras institucionales
Matriz de barreras técnicas y sociales
Matriz de riesgos financieros
Plan de tratamiento de riesgos
Documento y matriz P11</x:v>
      </x:c>
      <x:c r="R67" s="15" t="str">
        <x:v>Propuesta por correspondencia temática. Validar responsables y alcance dentro del entregable.</x:v>
      </x:c>
      <x:c r="S67" s="27" t="n">
        <x:f>IF(ISNUMBER(J67),0,1)</x:f>
        <x:v>1</x:v>
      </x:c>
      <x:c r="T67" s="43" t="n">
        <x:f>SUMIFS(Asignaciones!$G$6:$G$325,Asignaciones!$A$6:$A$325,A67)</x:f>
        <x:v>1</x:v>
      </x:c>
    </x:row>
    <x:row r="68" ht="42" customHeight="1">
      <x:c r="A68" s="15" t="str">
        <x:v>P11 / R01</x:v>
      </x:c>
      <x:c r="B68" s="15" t="str">
        <x:v>C5</x:v>
      </x:c>
      <x:c r="C68" s="15" t="str">
        <x:v>P11</x:v>
      </x:c>
      <x:c r="D68" s="15" t="str">
        <x:v>R01</x:v>
      </x:c>
      <x:c r="E68" s="15" t="str">
        <x:v>Revisión y aval</x:v>
      </x:c>
      <x:c r="F68" s="15" t="str">
        <x:v>Revisar integralmente la calidad técnica, coherencia, trazabilidad contractual y suficiencia del entregable</x:v>
      </x:c>
      <x:c r="G68" s="21" t="str">
        <x:v>Guillermo Penagos; María José Suárez</x:v>
      </x:c>
      <x:c r="H68" s="21" t="str">
        <x:v>Personas desagregadas y ponderadas en Asignaciones</x:v>
      </x:c>
      <x:c r="I68" s="22" t="n">
        <x:v>0.1</x:v>
      </x:c>
      <x:c r="J68" s="29" t="str">
        <x:f>IF(SUMIFS(Asignaciones!$P$6:$P$325,Asignaciones!$A$6:$A$325,A68)&gt;0,"",SUMIFS(Asignaciones!$K$6:$K$325,Asignaciones!$A$6:$A$325,A68))</x:f>
      </x:c>
      <x:c r="K68" s="16" t="str">
        <x:f>IF(ISNUMBER(J68),I68*J68,"")</x:f>
      </x:c>
      <x:c r="L68" s="23"/>
      <x:c r="M68" s="21"/>
      <x:c r="N68" s="21"/>
      <x:c r="O68" s="15" t="n">
        <x:f>COUNTIFS(Tareas!$B$6:$B$1005,A68)</x:f>
        <x:v>0</x:v>
      </x:c>
      <x:c r="P68" s="15" t="str">
        <x:v>P11-R01</x:v>
      </x:c>
      <x:c r="Q68" s="15" t="str">
        <x:v>Concepto consolidado de revisión y aval</x:v>
      </x:c>
      <x:c r="R68" s="15" t="str">
        <x:v>Etapa de revisión del original. No es actividad contractual adicional.</x:v>
      </x:c>
      <x:c r="S68" s="27" t="n">
        <x:f>IF(ISNUMBER(J68),0,1)</x:f>
        <x:v>1</x:v>
      </x:c>
      <x:c r="T68" s="43" t="n">
        <x:f>SUMIFS(Asignaciones!$G$6:$G$325,Asignaciones!$A$6:$A$325,A68)</x:f>
        <x:v>1</x:v>
      </x:c>
    </x:row>
    <x:row r="69" ht="42" customHeight="1">
      <x:c r="A69" s="15" t="str">
        <x:v>P11 / R02</x:v>
      </x:c>
      <x:c r="B69" s="15" t="str">
        <x:v>C5</x:v>
      </x:c>
      <x:c r="C69" s="15" t="str">
        <x:v>P11</x:v>
      </x:c>
      <x:c r="D69" s="15" t="str">
        <x:v>R02</x:v>
      </x:c>
      <x:c r="E69" s="15" t="str">
        <x:v>Revisión final Secretaría</x:v>
      </x:c>
      <x:c r="F69" s="15" t="str">
        <x:v>Realizar la revisión final institucional y emitir observaciones o conformidad para el cierre del entregable</x:v>
      </x:c>
      <x:c r="G69" s="21" t="str">
        <x:v>Juana — Secretaría de Medio Ambiente</x:v>
      </x:c>
      <x:c r="H69" s="21" t="str">
        <x:v>Personas desagregadas y ponderadas en Asignaciones</x:v>
      </x:c>
      <x:c r="I69" s="22" t="n">
        <x:v>0.05</x:v>
      </x:c>
      <x:c r="J69" s="29" t="str">
        <x:f>IF(SUMIFS(Asignaciones!$P$6:$P$325,Asignaciones!$A$6:$A$325,A69)&gt;0,"",SUMIFS(Asignaciones!$K$6:$K$325,Asignaciones!$A$6:$A$325,A69))</x:f>
      </x:c>
      <x:c r="K69" s="16" t="str">
        <x:f>IF(ISNUMBER(J69),I69*J69,"")</x:f>
      </x:c>
      <x:c r="L69" s="23"/>
      <x:c r="M69" s="21"/>
      <x:c r="N69" s="21"/>
      <x:c r="O69" s="15" t="n">
        <x:f>COUNTIFS(Tareas!$B$6:$B$1005,A69)</x:f>
        <x:v>0</x:v>
      </x:c>
      <x:c r="P69" s="15" t="str">
        <x:v>P11-R02</x:v>
      </x:c>
      <x:c r="Q69" s="15" t="str">
        <x:v>Concepto u observaciones finales de la Secretaría</x:v>
      </x:c>
      <x:c r="R69" s="15" t="str">
        <x:v>Etapa de revisión del original. No es actividad contractual adicional.</x:v>
      </x:c>
      <x:c r="S69" s="27" t="n">
        <x:f>IF(ISNUMBER(J69),0,1)</x:f>
        <x:v>1</x:v>
      </x:c>
      <x:c r="T69" s="43" t="n">
        <x:f>SUMIFS(Asignaciones!$G$6:$G$325,Asignaciones!$A$6:$A$325,A69)</x:f>
        <x:v>1</x:v>
      </x:c>
    </x:row>
    <x:row r="70" ht="72" customHeight="1">
      <x:c r="A70" s="15" t="str">
        <x:v>P12 / C5-A1</x:v>
      </x:c>
      <x:c r="B70" s="15" t="str">
        <x:v>C5</x:v>
      </x:c>
      <x:c r="C70" s="15" t="str">
        <x:v>P12</x:v>
      </x:c>
      <x:c r="D70" s="15" t="str">
        <x:v>C5-A1</x:v>
      </x:c>
      <x:c r="E70" s="15" t="str">
        <x:v>Contractual</x:v>
      </x:c>
      <x:c r="F70" s="15" t="str">
        <x:v>Identificación de análisis de barreras, riesgos y gestión de la implementación, incluidos cuellos de botella normativos, técnicos, institucionales, políticos o de apropiación social y estrategias de mitigación del riesgo.</x:v>
      </x:c>
      <x:c r="G70" s="21" t="str">
        <x:v>Diana Carolina Ríos Echeverri; Sebastián Cartagena; Paola Andrea Ruiz Franco</x:v>
      </x:c>
      <x:c r="H70" s="21" t="str">
        <x:v>Personas desagregadas y ponderadas en Asignaciones</x:v>
      </x:c>
      <x:c r="I70" s="22" t="n">
        <x:v>0.17</x:v>
      </x:c>
      <x:c r="J70" s="29" t="str">
        <x:f>IF(SUMIFS(Asignaciones!$P$6:$P$325,Asignaciones!$A$6:$A$325,A70)&gt;0,"",SUMIFS(Asignaciones!$K$6:$K$325,Asignaciones!$A$6:$A$325,A70))</x:f>
      </x:c>
      <x:c r="K70" s="16" t="str">
        <x:f>IF(ISNUMBER(J70),I70*J70,"")</x:f>
      </x:c>
      <x:c r="L70" s="23"/>
      <x:c r="M70" s="21"/>
      <x:c r="N70" s="21"/>
      <x:c r="O70" s="15" t="n">
        <x:f>COUNTIFS(Tareas!$B$6:$B$1005,A70)</x:f>
        <x:v>0</x:v>
      </x:c>
      <x:c r="P70" s="15" t="str">
        <x:v>P12-A04</x:v>
      </x:c>
      <x:c r="Q70" s="15" t="str">
        <x:v>Matriz de viabilidad</x:v>
      </x:c>
      <x:c r="R70" s="15" t="str">
        <x:v>Propuesta por correspondencia temática. Validar responsables y alcance dentro del entregable.</x:v>
      </x:c>
      <x:c r="S70" s="27" t="n">
        <x:f>IF(ISNUMBER(J70),0,1)</x:f>
        <x:v>1</x:v>
      </x:c>
      <x:c r="T70" s="43" t="n">
        <x:f>SUMIFS(Asignaciones!$G$6:$G$325,Asignaciones!$A$6:$A$325,A70)</x:f>
        <x:v>1</x:v>
      </x:c>
    </x:row>
    <x:row r="71" ht="57" customHeight="1">
      <x:c r="A71" s="15" t="str">
        <x:v>P12 / C5-A2</x:v>
      </x:c>
      <x:c r="B71" s="15" t="str">
        <x:v>C5</x:v>
      </x:c>
      <x:c r="C71" s="15" t="str">
        <x:v>P12</x:v>
      </x:c>
      <x:c r="D71" s="15" t="str">
        <x:v>C5-A2</x:v>
      </x:c>
      <x:c r="E71" s="15" t="str">
        <x:v>Contractual</x:v>
      </x:c>
      <x:c r="F71" s="15" t="str">
        <x:v>Estimación de requerimientos de inversión (CAPEX), costos operativos (OPEX) y viabilidad física e institucional de las medidas priorizadas para el corto y mediano plazo.</x:v>
      </x:c>
      <x:c r="G71" s="21" t="str">
        <x:v>Alejandro Silva Cortés; Diana Carolina Ríos Echeverri; Paola Andrea Ruiz Franco</x:v>
      </x:c>
      <x:c r="H71" s="21" t="str">
        <x:v>Personas desagregadas y ponderadas en Asignaciones</x:v>
      </x:c>
      <x:c r="I71" s="22" t="n">
        <x:v>0.255</x:v>
      </x:c>
      <x:c r="J71" s="29" t="str">
        <x:f>IF(SUMIFS(Asignaciones!$P$6:$P$325,Asignaciones!$A$6:$A$325,A71)&gt;0,"",SUMIFS(Asignaciones!$K$6:$K$325,Asignaciones!$A$6:$A$325,A71))</x:f>
      </x:c>
      <x:c r="K71" s="16" t="str">
        <x:f>IF(ISNUMBER(J71),I71*J71,"")</x:f>
      </x:c>
      <x:c r="L71" s="23"/>
      <x:c r="M71" s="21"/>
      <x:c r="N71" s="21"/>
      <x:c r="O71" s="15" t="n">
        <x:f>COUNTIFS(Tareas!$B$6:$B$1005,A71)</x:f>
        <x:v>0</x:v>
      </x:c>
      <x:c r="P71" s="15" t="str">
        <x:v>P12-A03</x:v>
      </x:c>
      <x:c r="Q71" s="15" t="str">
        <x:v>Modelo financiero preliminar</x:v>
      </x:c>
      <x:c r="R71" s="15" t="str">
        <x:v>Propuesta por correspondencia temática. Validar responsables y alcance dentro del entregable.</x:v>
      </x:c>
      <x:c r="S71" s="27" t="n">
        <x:f>IF(ISNUMBER(J71),0,1)</x:f>
        <x:v>1</x:v>
      </x:c>
      <x:c r="T71" s="43" t="n">
        <x:f>SUMIFS(Asignaciones!$G$6:$G$325,Asignaciones!$A$6:$A$325,A71)</x:f>
        <x:v>1</x:v>
      </x:c>
    </x:row>
    <x:row r="72" ht="87" customHeight="1">
      <x:c r="A72" s="15" t="str">
        <x:v>P12 / C5-A3</x:v>
      </x:c>
      <x:c r="B72" s="15" t="str">
        <x:v>C5</x:v>
      </x:c>
      <x:c r="C72" s="15" t="str">
        <x:v>P12</x:v>
      </x:c>
      <x:c r="D72" s="15" t="str">
        <x:v>C5-A3</x:v>
      </x:c>
      <x:c r="E72" s="15" t="str">
        <x:v>Contractual</x:v>
      </x:c>
      <x:c r="F72" s="15" t="str">
        <x:v>Estructuración de la Cartera de Proyectos Climáticos bajo criterios de Viabilidad y Bancabilidad, articulada con el Diagnóstico de Oportunidades de Inversión Climática del Distrito.</x:v>
      </x:c>
      <x:c r="G72" s="21" t="str">
        <x:v>Marcos Arango Tamayo; Diana Carolina Ríos Echeverri; Alejandro Silva Cortés; Juliana Valencia; Vanessa García Leoz; Paola Andrea Ruiz Franco</x:v>
      </x:c>
      <x:c r="H72" s="21" t="str">
        <x:v>Personas desagregadas y ponderadas en Asignaciones</x:v>
      </x:c>
      <x:c r="I72" s="22" t="n">
        <x:v>0.425</x:v>
      </x:c>
      <x:c r="J72" s="29" t="str">
        <x:f>IF(SUMIFS(Asignaciones!$P$6:$P$325,Asignaciones!$A$6:$A$325,A72)&gt;0,"",SUMIFS(Asignaciones!$K$6:$K$325,Asignaciones!$A$6:$A$325,A72))</x:f>
      </x:c>
      <x:c r="K72" s="16" t="str">
        <x:f>IF(ISNUMBER(J72),I72*J72,"")</x:f>
      </x:c>
      <x:c r="L72" s="23"/>
      <x:c r="M72" s="21"/>
      <x:c r="N72" s="21"/>
      <x:c r="O72" s="15" t="n">
        <x:f>COUNTIFS(Tareas!$B$6:$B$1005,A72)</x:f>
        <x:v>0</x:v>
      </x:c>
      <x:c r="P72" s="15" t="str">
        <x:v>P12-A01; P12-A02; P12-A05; P12-A06</x:v>
      </x:c>
      <x:c r="Q72" s="15" t="str">
        <x:v>Marco de criterios
Fichas preliminares de proyectos
Mapa proyecto–fuente
Cartera P12 consolidada</x:v>
      </x:c>
      <x:c r="R72" s="15" t="str">
        <x:v>Propuesta por correspondencia temática. Validar responsables y alcance dentro del entregable.</x:v>
      </x:c>
      <x:c r="S72" s="27" t="n">
        <x:f>IF(ISNUMBER(J72),0,1)</x:f>
        <x:v>1</x:v>
      </x:c>
      <x:c r="T72" s="43" t="n">
        <x:f>SUMIFS(Asignaciones!$G$6:$G$325,Asignaciones!$A$6:$A$325,A72)</x:f>
        <x:v>1</x:v>
      </x:c>
    </x:row>
    <x:row r="73" ht="42" customHeight="1">
      <x:c r="A73" s="15" t="str">
        <x:v>P12 / R01</x:v>
      </x:c>
      <x:c r="B73" s="15" t="str">
        <x:v>C5</x:v>
      </x:c>
      <x:c r="C73" s="15" t="str">
        <x:v>P12</x:v>
      </x:c>
      <x:c r="D73" s="15" t="str">
        <x:v>R01</x:v>
      </x:c>
      <x:c r="E73" s="15" t="str">
        <x:v>Revisión y aval</x:v>
      </x:c>
      <x:c r="F73" s="15" t="str">
        <x:v>Revisar integralmente la calidad técnica, coherencia, trazabilidad contractual y suficiencia del entregable</x:v>
      </x:c>
      <x:c r="G73" s="21" t="str">
        <x:v>Guillermo Penagos; María José Suárez</x:v>
      </x:c>
      <x:c r="H73" s="21" t="str">
        <x:v>Personas desagregadas y ponderadas en Asignaciones</x:v>
      </x:c>
      <x:c r="I73" s="22" t="n">
        <x:v>0.1</x:v>
      </x:c>
      <x:c r="J73" s="29" t="str">
        <x:f>IF(SUMIFS(Asignaciones!$P$6:$P$325,Asignaciones!$A$6:$A$325,A73)&gt;0,"",SUMIFS(Asignaciones!$K$6:$K$325,Asignaciones!$A$6:$A$325,A73))</x:f>
      </x:c>
      <x:c r="K73" s="16" t="str">
        <x:f>IF(ISNUMBER(J73),I73*J73,"")</x:f>
      </x:c>
      <x:c r="L73" s="23"/>
      <x:c r="M73" s="21"/>
      <x:c r="N73" s="21"/>
      <x:c r="O73" s="15" t="n">
        <x:f>COUNTIFS(Tareas!$B$6:$B$1005,A73)</x:f>
        <x:v>0</x:v>
      </x:c>
      <x:c r="P73" s="15" t="str">
        <x:v>P12-R01</x:v>
      </x:c>
      <x:c r="Q73" s="15" t="str">
        <x:v>Concepto consolidado de revisión y aval</x:v>
      </x:c>
      <x:c r="R73" s="15" t="str">
        <x:v>Etapa de revisión del original. No es actividad contractual adicional.</x:v>
      </x:c>
      <x:c r="S73" s="27" t="n">
        <x:f>IF(ISNUMBER(J73),0,1)</x:f>
        <x:v>1</x:v>
      </x:c>
      <x:c r="T73" s="43" t="n">
        <x:f>SUMIFS(Asignaciones!$G$6:$G$325,Asignaciones!$A$6:$A$325,A73)</x:f>
        <x:v>1</x:v>
      </x:c>
    </x:row>
    <x:row r="74" ht="42" customHeight="1">
      <x:c r="A74" s="15" t="str">
        <x:v>P12 / R02</x:v>
      </x:c>
      <x:c r="B74" s="15" t="str">
        <x:v>C5</x:v>
      </x:c>
      <x:c r="C74" s="15" t="str">
        <x:v>P12</x:v>
      </x:c>
      <x:c r="D74" s="15" t="str">
        <x:v>R02</x:v>
      </x:c>
      <x:c r="E74" s="15" t="str">
        <x:v>Revisión final Secretaría</x:v>
      </x:c>
      <x:c r="F74" s="15" t="str">
        <x:v>Realizar la revisión final institucional y emitir observaciones o conformidad para el cierre del entregable</x:v>
      </x:c>
      <x:c r="G74" s="21" t="str">
        <x:v>Juana — Secretaría de Medio Ambiente</x:v>
      </x:c>
      <x:c r="H74" s="21" t="str">
        <x:v>Personas desagregadas y ponderadas en Asignaciones</x:v>
      </x:c>
      <x:c r="I74" s="22" t="n">
        <x:v>0.05</x:v>
      </x:c>
      <x:c r="J74" s="29" t="str">
        <x:f>IF(SUMIFS(Asignaciones!$P$6:$P$325,Asignaciones!$A$6:$A$325,A74)&gt;0,"",SUMIFS(Asignaciones!$K$6:$K$325,Asignaciones!$A$6:$A$325,A74))</x:f>
      </x:c>
      <x:c r="K74" s="16" t="str">
        <x:f>IF(ISNUMBER(J74),I74*J74,"")</x:f>
      </x:c>
      <x:c r="L74" s="23"/>
      <x:c r="M74" s="21"/>
      <x:c r="N74" s="21"/>
      <x:c r="O74" s="15" t="n">
        <x:f>COUNTIFS(Tareas!$B$6:$B$1005,A74)</x:f>
        <x:v>0</x:v>
      </x:c>
      <x:c r="P74" s="15" t="str">
        <x:v>P12-R02</x:v>
      </x:c>
      <x:c r="Q74" s="15" t="str">
        <x:v>Concepto u observaciones finales de la Secretaría</x:v>
      </x:c>
      <x:c r="R74" s="15" t="str">
        <x:v>Etapa de revisión del original. No es actividad contractual adicional.</x:v>
      </x:c>
      <x:c r="S74" s="27" t="n">
        <x:f>IF(ISNUMBER(J74),0,1)</x:f>
        <x:v>1</x:v>
      </x:c>
      <x:c r="T74" s="43" t="n">
        <x:f>SUMIFS(Asignaciones!$G$6:$G$325,Asignaciones!$A$6:$A$325,A74)</x:f>
        <x:v>1</x:v>
      </x:c>
    </x:row>
    <x:row r="75" ht="57" customHeight="1">
      <x:c r="A75" s="15" t="str">
        <x:v>P13 / C5-A2</x:v>
      </x:c>
      <x:c r="B75" s="15" t="str">
        <x:v>C5</x:v>
      </x:c>
      <x:c r="C75" s="15" t="str">
        <x:v>P13</x:v>
      </x:c>
      <x:c r="D75" s="15" t="str">
        <x:v>C5-A2</x:v>
      </x:c>
      <x:c r="E75" s="15" t="str">
        <x:v>Contractual</x:v>
      </x:c>
      <x:c r="F75" s="15" t="str">
        <x:v>Estimación de requerimientos de inversión (CAPEX), costos operativos (OPEX) y viabilidad física e institucional de las medidas priorizadas para el corto y mediano plazo.</x:v>
      </x:c>
      <x:c r="G75" s="21" t="str">
        <x:v>Alejandro Silva Cortés; Diana Carolina Ríos Echeverri; Paola Andrea Ruiz Franco</x:v>
      </x:c>
      <x:c r="H75" s="21" t="str">
        <x:v>Personas desagregadas y ponderadas en Asignaciones</x:v>
      </x:c>
      <x:c r="I75" s="22" t="n">
        <x:v>0.2125</x:v>
      </x:c>
      <x:c r="J75" s="29" t="str">
        <x:f>IF(SUMIFS(Asignaciones!$P$6:$P$325,Asignaciones!$A$6:$A$325,A75)&gt;0,"",SUMIFS(Asignaciones!$K$6:$K$325,Asignaciones!$A$6:$A$325,A75))</x:f>
      </x:c>
      <x:c r="K75" s="16" t="str">
        <x:f>IF(ISNUMBER(J75),I75*J75,"")</x:f>
      </x:c>
      <x:c r="L75" s="23"/>
      <x:c r="M75" s="21"/>
      <x:c r="N75" s="21"/>
      <x:c r="O75" s="15" t="n">
        <x:f>COUNTIFS(Tareas!$B$6:$B$1005,A75)</x:f>
        <x:v>0</x:v>
      </x:c>
      <x:c r="P75" s="15" t="str">
        <x:v>P13-A02</x:v>
      </x:c>
      <x:c r="Q75" s="15" t="str">
        <x:v>Plan de necesidades de inversión</x:v>
      </x:c>
      <x:c r="R75" s="15" t="str">
        <x:v>Propuesta por correspondencia temática. Validar responsables y alcance dentro del entregable.</x:v>
      </x:c>
      <x:c r="S75" s="27" t="n">
        <x:f>IF(ISNUMBER(J75),0,1)</x:f>
        <x:v>1</x:v>
      </x:c>
      <x:c r="T75" s="43" t="n">
        <x:f>SUMIFS(Asignaciones!$G$6:$G$325,Asignaciones!$A$6:$A$325,A75)</x:f>
        <x:v>1</x:v>
      </x:c>
    </x:row>
    <x:row r="76" ht="57" customHeight="1">
      <x:c r="A76" s="15" t="str">
        <x:v>P13 / C5-A3</x:v>
      </x:c>
      <x:c r="B76" s="15" t="str">
        <x:v>C5</x:v>
      </x:c>
      <x:c r="C76" s="15" t="str">
        <x:v>P13</x:v>
      </x:c>
      <x:c r="D76" s="15" t="str">
        <x:v>C5-A3</x:v>
      </x:c>
      <x:c r="E76" s="15" t="str">
        <x:v>Contractual</x:v>
      </x:c>
      <x:c r="F76" s="15" t="str">
        <x:v>Estructuración de la Cartera de Proyectos Climáticos bajo criterios de Viabilidad y Bancabilidad, articulada con el Diagnóstico de Oportunidades de Inversión Climática del Distrito.</x:v>
      </x:c>
      <x:c r="G76" s="21" t="str">
        <x:v>Alejandro Silva Cortés; Daniel González Montoya; Paola Andrea Ruiz Franco</x:v>
      </x:c>
      <x:c r="H76" s="21" t="str">
        <x:v>Personas desagregadas y ponderadas en Asignaciones</x:v>
      </x:c>
      <x:c r="I76" s="22" t="n">
        <x:v>0.2125</x:v>
      </x:c>
      <x:c r="J76" s="29" t="str">
        <x:f>IF(SUMIFS(Asignaciones!$P$6:$P$325,Asignaciones!$A$6:$A$325,A76)&gt;0,"",SUMIFS(Asignaciones!$K$6:$K$325,Asignaciones!$A$6:$A$325,A76))</x:f>
      </x:c>
      <x:c r="K76" s="16" t="str">
        <x:f>IF(ISNUMBER(J76),I76*J76,"")</x:f>
      </x:c>
      <x:c r="L76" s="23"/>
      <x:c r="M76" s="21"/>
      <x:c r="N76" s="21"/>
      <x:c r="O76" s="15" t="n">
        <x:f>COUNTIFS(Tareas!$B$6:$B$1005,A76)</x:f>
        <x:v>0</x:v>
      </x:c>
      <x:c r="P76" s="15" t="str">
        <x:v>P13-A03</x:v>
      </x:c>
      <x:c r="Q76" s="15" t="str">
        <x:v>Mapa de fuentes</x:v>
      </x:c>
      <x:c r="R76" s="15" t="str">
        <x:v>Propuesta por correspondencia temática. Validar responsables y alcance dentro del entregable.</x:v>
      </x:c>
      <x:c r="S76" s="27" t="n">
        <x:f>IF(ISNUMBER(J76),0,1)</x:f>
        <x:v>1</x:v>
      </x:c>
      <x:c r="T76" s="43" t="n">
        <x:f>SUMIFS(Asignaciones!$G$6:$G$325,Asignaciones!$A$6:$A$325,A76)</x:f>
        <x:v>1</x:v>
      </x:c>
    </x:row>
    <x:row r="77" ht="72" customHeight="1">
      <x:c r="A77" s="15" t="str">
        <x:v>P13 / C5-A4</x:v>
      </x:c>
      <x:c r="B77" s="15" t="str">
        <x:v>C5</x:v>
      </x:c>
      <x:c r="C77" s="15" t="str">
        <x:v>P13</x:v>
      </x:c>
      <x:c r="D77" s="15" t="str">
        <x:v>C5-A4</x:v>
      </x:c>
      <x:c r="E77" s="15" t="str">
        <x:v>Contractual</x:v>
      </x:c>
      <x:c r="F77" s="15" t="str">
        <x:v>Diseño de la Estrategia de Financiamiento y Movilización de Recursos.</x:v>
      </x:c>
      <x:c r="G77" s="21" t="str">
        <x:v>Diana Carolina Ríos Echeverri; Alejandro Silva Cortés; Sebastián Cartagena; Paola Andrea Ruiz Franco</x:v>
      </x:c>
      <x:c r="H77" s="21" t="str">
        <x:v>Personas desagregadas y ponderadas en Asignaciones</x:v>
      </x:c>
      <x:c r="I77" s="22" t="n">
        <x:v>0.425</x:v>
      </x:c>
      <x:c r="J77" s="29" t="str">
        <x:f>IF(SUMIFS(Asignaciones!$P$6:$P$325,Asignaciones!$A$6:$A$325,A77)&gt;0,"",SUMIFS(Asignaciones!$K$6:$K$325,Asignaciones!$A$6:$A$325,A77))</x:f>
      </x:c>
      <x:c r="K77" s="16" t="str">
        <x:f>IF(ISNUMBER(J77),I77*J77,"")</x:f>
      </x:c>
      <x:c r="L77" s="23"/>
      <x:c r="M77" s="21"/>
      <x:c r="N77" s="21"/>
      <x:c r="O77" s="15" t="n">
        <x:f>COUNTIFS(Tareas!$B$6:$B$1005,A77)</x:f>
        <x:v>0</x:v>
      </x:c>
      <x:c r="P77" s="15" t="str">
        <x:v>P13-A01; P13-A04; P13-A05; P13-A06</x:v>
      </x:c>
      <x:c r="Q77" s="15" t="str">
        <x:v>Diagnóstico financiero
Portafolio de instrumentos
Hoja de ruta financiera
Borrador técnico completo de P13</x:v>
      </x:c>
      <x:c r="R77" s="15" t="str">
        <x:v>Propuesta por correspondencia temática. Validar responsables y alcance dentro del entregable.</x:v>
      </x:c>
      <x:c r="S77" s="27" t="n">
        <x:f>IF(ISNUMBER(J77),0,1)</x:f>
        <x:v>1</x:v>
      </x:c>
      <x:c r="T77" s="43" t="n">
        <x:f>SUMIFS(Asignaciones!$G$6:$G$325,Asignaciones!$A$6:$A$325,A77)</x:f>
        <x:v>1</x:v>
      </x:c>
    </x:row>
    <x:row r="78" ht="42" customHeight="1">
      <x:c r="A78" s="15" t="str">
        <x:v>P13 / R01</x:v>
      </x:c>
      <x:c r="B78" s="15" t="str">
        <x:v>C5</x:v>
      </x:c>
      <x:c r="C78" s="15" t="str">
        <x:v>P13</x:v>
      </x:c>
      <x:c r="D78" s="15" t="str">
        <x:v>R01</x:v>
      </x:c>
      <x:c r="E78" s="15" t="str">
        <x:v>Revisión y aval</x:v>
      </x:c>
      <x:c r="F78" s="15" t="str">
        <x:v>Revisar integralmente la calidad técnica, coherencia, trazabilidad contractual y suficiencia del entregable</x:v>
      </x:c>
      <x:c r="G78" s="21" t="str">
        <x:v>Guillermo Penagos; María José Suárez</x:v>
      </x:c>
      <x:c r="H78" s="21" t="str">
        <x:v>Personas desagregadas y ponderadas en Asignaciones</x:v>
      </x:c>
      <x:c r="I78" s="22" t="n">
        <x:v>0.1</x:v>
      </x:c>
      <x:c r="J78" s="29" t="str">
        <x:f>IF(SUMIFS(Asignaciones!$P$6:$P$325,Asignaciones!$A$6:$A$325,A78)&gt;0,"",SUMIFS(Asignaciones!$K$6:$K$325,Asignaciones!$A$6:$A$325,A78))</x:f>
      </x:c>
      <x:c r="K78" s="16" t="str">
        <x:f>IF(ISNUMBER(J78),I78*J78,"")</x:f>
      </x:c>
      <x:c r="L78" s="23"/>
      <x:c r="M78" s="21"/>
      <x:c r="N78" s="21"/>
      <x:c r="O78" s="15" t="n">
        <x:f>COUNTIFS(Tareas!$B$6:$B$1005,A78)</x:f>
        <x:v>0</x:v>
      </x:c>
      <x:c r="P78" s="15" t="str">
        <x:v>P13-R01</x:v>
      </x:c>
      <x:c r="Q78" s="15" t="str">
        <x:v>Concepto consolidado de revisión y aval</x:v>
      </x:c>
      <x:c r="R78" s="15" t="str">
        <x:v>Etapa de revisión del original. No es actividad contractual adicional.</x:v>
      </x:c>
      <x:c r="S78" s="27" t="n">
        <x:f>IF(ISNUMBER(J78),0,1)</x:f>
        <x:v>1</x:v>
      </x:c>
      <x:c r="T78" s="43" t="n">
        <x:f>SUMIFS(Asignaciones!$G$6:$G$325,Asignaciones!$A$6:$A$325,A78)</x:f>
        <x:v>1</x:v>
      </x:c>
    </x:row>
    <x:row r="79" ht="42" customHeight="1">
      <x:c r="A79" s="15" t="str">
        <x:v>P13 / R02</x:v>
      </x:c>
      <x:c r="B79" s="15" t="str">
        <x:v>C5</x:v>
      </x:c>
      <x:c r="C79" s="15" t="str">
        <x:v>P13</x:v>
      </x:c>
      <x:c r="D79" s="15" t="str">
        <x:v>R02</x:v>
      </x:c>
      <x:c r="E79" s="15" t="str">
        <x:v>Revisión final Secretaría</x:v>
      </x:c>
      <x:c r="F79" s="15" t="str">
        <x:v>Realizar la revisión final institucional y emitir observaciones o conformidad para el cierre del entregable</x:v>
      </x:c>
      <x:c r="G79" s="21" t="str">
        <x:v>Juana — Secretaría de Medio Ambiente</x:v>
      </x:c>
      <x:c r="H79" s="21" t="str">
        <x:v>Personas desagregadas y ponderadas en Asignaciones</x:v>
      </x:c>
      <x:c r="I79" s="22" t="n">
        <x:v>0.05</x:v>
      </x:c>
      <x:c r="J79" s="29" t="str">
        <x:f>IF(SUMIFS(Asignaciones!$P$6:$P$325,Asignaciones!$A$6:$A$325,A79)&gt;0,"",SUMIFS(Asignaciones!$K$6:$K$325,Asignaciones!$A$6:$A$325,A79))</x:f>
      </x:c>
      <x:c r="K79" s="16" t="str">
        <x:f>IF(ISNUMBER(J79),I79*J79,"")</x:f>
      </x:c>
      <x:c r="L79" s="23"/>
      <x:c r="M79" s="21"/>
      <x:c r="N79" s="21"/>
      <x:c r="O79" s="15" t="n">
        <x:f>COUNTIFS(Tareas!$B$6:$B$1005,A79)</x:f>
        <x:v>0</x:v>
      </x:c>
      <x:c r="P79" s="15" t="str">
        <x:v>P13-R02</x:v>
      </x:c>
      <x:c r="Q79" s="15" t="str">
        <x:v>Concepto u observaciones finales de la Secretaría</x:v>
      </x:c>
      <x:c r="R79" s="15" t="str">
        <x:v>Etapa de revisión del original. No es actividad contractual adicional.</x:v>
      </x:c>
      <x:c r="S79" s="27" t="n">
        <x:f>IF(ISNUMBER(J79),0,1)</x:f>
        <x:v>1</x:v>
      </x:c>
      <x:c r="T79" s="43" t="n">
        <x:f>SUMIFS(Asignaciones!$G$6:$G$325,Asignaciones!$A$6:$A$325,A79)</x:f>
        <x:v>1</x:v>
      </x:c>
    </x:row>
    <x:row r="80" ht="72" customHeight="1">
      <x:c r="A80" s="15" t="str">
        <x:v>P14 / C5-A5</x:v>
      </x:c>
      <x:c r="B80" s="15" t="str">
        <x:v>C5</x:v>
      </x:c>
      <x:c r="C80" s="15" t="str">
        <x:v>P14</x:v>
      </x:c>
      <x:c r="D80" s="15" t="str">
        <x:v>C5-A5</x:v>
      </x:c>
      <x:c r="E80" s="15" t="str">
        <x:v>Contractual</x:v>
      </x:c>
      <x:c r="F80" s="15" t="str">
        <x:v>Estructuración del marco institucional y operativo del Sistema MERL, definiendo la gobernanza y la interoperabilidad de datos climáticos.</x:v>
      </x:c>
      <x:c r="G80" s="21" t="str">
        <x:v>Luis Eduardo Vahos Hernández; León Darío Orrego Espejo; Daniel González Montoya; Sebastián Cartagena; Paola Andrea Ruiz Franco</x:v>
      </x:c>
      <x:c r="H80" s="21" t="str">
        <x:v>Personas desagregadas y ponderadas en Asignaciones</x:v>
      </x:c>
      <x:c r="I80" s="22" t="n">
        <x:v>0.34</x:v>
      </x:c>
      <x:c r="J80" s="29" t="str">
        <x:f>IF(SUMIFS(Asignaciones!$P$6:$P$325,Asignaciones!$A$6:$A$325,A80)&gt;0,"",SUMIFS(Asignaciones!$K$6:$K$325,Asignaciones!$A$6:$A$325,A80))</x:f>
      </x:c>
      <x:c r="K80" s="16" t="str">
        <x:f>IF(ISNUMBER(J80),I80*J80,"")</x:f>
      </x:c>
      <x:c r="L80" s="23"/>
      <x:c r="M80" s="21"/>
      <x:c r="N80" s="21"/>
      <x:c r="O80" s="15" t="n">
        <x:f>COUNTIFS(Tareas!$B$6:$B$1005,A80)</x:f>
        <x:v>0</x:v>
      </x:c>
      <x:c r="P80" s="15" t="str">
        <x:v>P14-A01; P14-A03</x:v>
      </x:c>
      <x:c r="Q80" s="15" t="str">
        <x:v>Modelo de gobernanza MERL
Arquitectura de datos MERL</x:v>
      </x:c>
      <x:c r="R80" s="15" t="str">
        <x:v>Propuesta por correspondencia temática. Validar responsables y alcance dentro del entregable.</x:v>
      </x:c>
      <x:c r="S80" s="27" t="n">
        <x:f>IF(ISNUMBER(J80),0,1)</x:f>
        <x:v>1</x:v>
      </x:c>
      <x:c r="T80" s="43" t="n">
        <x:f>SUMIFS(Asignaciones!$G$6:$G$325,Asignaciones!$A$6:$A$325,A80)</x:f>
        <x:v>1</x:v>
      </x:c>
    </x:row>
    <x:row r="81" ht="57" customHeight="1">
      <x:c r="A81" s="15" t="str">
        <x:v>P14 / C5-A6</x:v>
      </x:c>
      <x:c r="B81" s="15" t="str">
        <x:v>C5</x:v>
      </x:c>
      <x:c r="C81" s="15" t="str">
        <x:v>P14</x:v>
      </x:c>
      <x:c r="D81" s="15" t="str">
        <x:v>C5-A6</x:v>
      </x:c>
      <x:c r="E81" s="15" t="str">
        <x:v>Contractual</x:v>
      </x:c>
      <x:c r="F81" s="15" t="str">
        <x:v>Revisión, ajuste y concertación de la batería de indicadores de gestión, resultados e impactos climáticos y socioeconómicos, articulada con sistemas de monitoreo nacionales e instrumentos regionales.</x:v>
      </x:c>
      <x:c r="G81" s="21" t="str">
        <x:v>Juliana Valencia; Daniel González Montoya; Paola Andrea Ruiz Franco</x:v>
      </x:c>
      <x:c r="H81" s="21" t="str">
        <x:v>Personas desagregadas y ponderadas en Asignaciones</x:v>
      </x:c>
      <x:c r="I81" s="22" t="n">
        <x:v>0.255</x:v>
      </x:c>
      <x:c r="J81" s="29" t="str">
        <x:f>IF(SUMIFS(Asignaciones!$P$6:$P$325,Asignaciones!$A$6:$A$325,A81)&gt;0,"",SUMIFS(Asignaciones!$K$6:$K$325,Asignaciones!$A$6:$A$325,A81))</x:f>
      </x:c>
      <x:c r="K81" s="16" t="str">
        <x:f>IF(ISNUMBER(J81),I81*J81,"")</x:f>
      </x:c>
      <x:c r="L81" s="23"/>
      <x:c r="M81" s="21"/>
      <x:c r="N81" s="21"/>
      <x:c r="O81" s="15" t="n">
        <x:f>COUNTIFS(Tareas!$B$6:$B$1005,A81)</x:f>
        <x:v>0</x:v>
      </x:c>
      <x:c r="P81" s="15" t="str">
        <x:v>P14-A02</x:v>
      </x:c>
      <x:c r="Q81" s="15" t="str">
        <x:v>Ficha y matriz de indicadores</x:v>
      </x:c>
      <x:c r="R81" s="15" t="str">
        <x:v>Propuesta por correspondencia temática. Validar responsables y alcance dentro del entregable.</x:v>
      </x:c>
      <x:c r="S81" s="27" t="n">
        <x:f>IF(ISNUMBER(J81),0,1)</x:f>
        <x:v>1</x:v>
      </x:c>
      <x:c r="T81" s="43" t="n">
        <x:f>SUMIFS(Asignaciones!$G$6:$G$325,Asignaciones!$A$6:$A$325,A81)</x:f>
        <x:v>1</x:v>
      </x:c>
    </x:row>
    <x:row r="82" ht="72" customHeight="1">
      <x:c r="A82" s="15" t="str">
        <x:v>P14 / C5-A7</x:v>
      </x:c>
      <x:c r="B82" s="15" t="str">
        <x:v>C5</x:v>
      </x:c>
      <x:c r="C82" s="15" t="str">
        <x:v>P14</x:v>
      </x:c>
      <x:c r="D82" s="15" t="str">
        <x:v>C5-A7</x:v>
      </x:c>
      <x:c r="E82" s="15" t="str">
        <x:v>Contractual</x:v>
      </x:c>
      <x:c r="F82" s="15" t="str">
        <x:v>Diseño de protocolos de reporte, seguimiento y actualización del plan, incluyendo guías metodológicas, periodicidad, flujos de información y responsabilidades institucionales.</x:v>
      </x:c>
      <x:c r="G82" s="21" t="str">
        <x:v>León Darío Orrego Espejo; Sebastián Cartagena; Luis Eduardo Vahos Hernández; Daniel González Montoya; Paola Andrea Ruiz Franco</x:v>
      </x:c>
      <x:c r="H82" s="21" t="str">
        <x:v>Personas desagregadas y ponderadas en Asignaciones</x:v>
      </x:c>
      <x:c r="I82" s="22" t="n">
        <x:v>0.255</x:v>
      </x:c>
      <x:c r="J82" s="29" t="str">
        <x:f>IF(SUMIFS(Asignaciones!$P$6:$P$325,Asignaciones!$A$6:$A$325,A82)&gt;0,"",SUMIFS(Asignaciones!$K$6:$K$325,Asignaciones!$A$6:$A$325,A82))</x:f>
      </x:c>
      <x:c r="K82" s="16" t="str">
        <x:f>IF(ISNUMBER(J82),I82*J82,"")</x:f>
      </x:c>
      <x:c r="L82" s="23"/>
      <x:c r="M82" s="21"/>
      <x:c r="N82" s="21"/>
      <x:c r="O82" s="15" t="n">
        <x:f>COUNTIFS(Tareas!$B$6:$B$1005,A82)</x:f>
        <x:v>0</x:v>
      </x:c>
      <x:c r="P82" s="15" t="str">
        <x:v>P14-A04; P14-A05; P14-A06</x:v>
      </x:c>
      <x:c r="Q82" s="15" t="str">
        <x:v>Protocolos MERL
Matriz RACI y calendario de reporte
Borrador técnico completo de P14</x:v>
      </x:c>
      <x:c r="R82" s="15" t="str">
        <x:v>Propuesta por correspondencia temática. Validar responsables y alcance dentro del entregable.</x:v>
      </x:c>
      <x:c r="S82" s="27" t="n">
        <x:f>IF(ISNUMBER(J82),0,1)</x:f>
        <x:v>1</x:v>
      </x:c>
      <x:c r="T82" s="43" t="n">
        <x:f>SUMIFS(Asignaciones!$G$6:$G$325,Asignaciones!$A$6:$A$325,A82)</x:f>
        <x:v>1</x:v>
      </x:c>
    </x:row>
    <x:row r="83" ht="42" customHeight="1">
      <x:c r="A83" s="15" t="str">
        <x:v>P14 / R01</x:v>
      </x:c>
      <x:c r="B83" s="15" t="str">
        <x:v>C5</x:v>
      </x:c>
      <x:c r="C83" s="15" t="str">
        <x:v>P14</x:v>
      </x:c>
      <x:c r="D83" s="15" t="str">
        <x:v>R01</x:v>
      </x:c>
      <x:c r="E83" s="15" t="str">
        <x:v>Revisión y aval</x:v>
      </x:c>
      <x:c r="F83" s="15" t="str">
        <x:v>Revisar integralmente la calidad técnica, coherencia, trazabilidad contractual y suficiencia del entregable</x:v>
      </x:c>
      <x:c r="G83" s="21" t="str">
        <x:v>Guillermo Penagos; María José Suárez</x:v>
      </x:c>
      <x:c r="H83" s="21" t="str">
        <x:v>Personas desagregadas y ponderadas en Asignaciones</x:v>
      </x:c>
      <x:c r="I83" s="22" t="n">
        <x:v>0.1</x:v>
      </x:c>
      <x:c r="J83" s="29" t="str">
        <x:f>IF(SUMIFS(Asignaciones!$P$6:$P$325,Asignaciones!$A$6:$A$325,A83)&gt;0,"",SUMIFS(Asignaciones!$K$6:$K$325,Asignaciones!$A$6:$A$325,A83))</x:f>
      </x:c>
      <x:c r="K83" s="16" t="str">
        <x:f>IF(ISNUMBER(J83),I83*J83,"")</x:f>
      </x:c>
      <x:c r="L83" s="23"/>
      <x:c r="M83" s="21"/>
      <x:c r="N83" s="21"/>
      <x:c r="O83" s="15" t="n">
        <x:f>COUNTIFS(Tareas!$B$6:$B$1005,A83)</x:f>
        <x:v>0</x:v>
      </x:c>
      <x:c r="P83" s="15" t="str">
        <x:v>P14-R01</x:v>
      </x:c>
      <x:c r="Q83" s="15" t="str">
        <x:v>Concepto consolidado de revisión y aval</x:v>
      </x:c>
      <x:c r="R83" s="15" t="str">
        <x:v>Etapa de revisión del original. No es actividad contractual adicional.</x:v>
      </x:c>
      <x:c r="S83" s="27" t="n">
        <x:f>IF(ISNUMBER(J83),0,1)</x:f>
        <x:v>1</x:v>
      </x:c>
      <x:c r="T83" s="43" t="n">
        <x:f>SUMIFS(Asignaciones!$G$6:$G$325,Asignaciones!$A$6:$A$325,A83)</x:f>
        <x:v>1</x:v>
      </x:c>
    </x:row>
    <x:row r="84" ht="42" customHeight="1">
      <x:c r="A84" s="15" t="str">
        <x:v>P14 / R02</x:v>
      </x:c>
      <x:c r="B84" s="15" t="str">
        <x:v>C5</x:v>
      </x:c>
      <x:c r="C84" s="15" t="str">
        <x:v>P14</x:v>
      </x:c>
      <x:c r="D84" s="15" t="str">
        <x:v>R02</x:v>
      </x:c>
      <x:c r="E84" s="15" t="str">
        <x:v>Revisión final Secretaría</x:v>
      </x:c>
      <x:c r="F84" s="15" t="str">
        <x:v>Realizar la revisión final institucional y emitir observaciones o conformidad para el cierre del entregable</x:v>
      </x:c>
      <x:c r="G84" s="21" t="str">
        <x:v>Juana — Secretaría de Medio Ambiente</x:v>
      </x:c>
      <x:c r="H84" s="21" t="str">
        <x:v>Personas desagregadas y ponderadas en Asignaciones</x:v>
      </x:c>
      <x:c r="I84" s="22" t="n">
        <x:v>0.05</x:v>
      </x:c>
      <x:c r="J84" s="29" t="str">
        <x:f>IF(SUMIFS(Asignaciones!$P$6:$P$325,Asignaciones!$A$6:$A$325,A84)&gt;0,"",SUMIFS(Asignaciones!$K$6:$K$325,Asignaciones!$A$6:$A$325,A84))</x:f>
      </x:c>
      <x:c r="K84" s="16" t="str">
        <x:f>IF(ISNUMBER(J84),I84*J84,"")</x:f>
      </x:c>
      <x:c r="L84" s="23"/>
      <x:c r="M84" s="21"/>
      <x:c r="N84" s="21"/>
      <x:c r="O84" s="15" t="n">
        <x:f>COUNTIFS(Tareas!$B$6:$B$1005,A84)</x:f>
        <x:v>0</x:v>
      </x:c>
      <x:c r="P84" s="15" t="str">
        <x:v>P14-R02</x:v>
      </x:c>
      <x:c r="Q84" s="15" t="str">
        <x:v>Concepto u observaciones finales de la Secretaría</x:v>
      </x:c>
      <x:c r="R84" s="15" t="str">
        <x:v>Etapa de revisión del original. No es actividad contractual adicional.</x:v>
      </x:c>
      <x:c r="S84" s="27" t="n">
        <x:f>IF(ISNUMBER(J84),0,1)</x:f>
        <x:v>1</x:v>
      </x:c>
      <x:c r="T84" s="43" t="n">
        <x:f>SUMIFS(Asignaciones!$G$6:$G$325,Asignaciones!$A$6:$A$325,A84)</x:f>
        <x:v>1</x:v>
      </x:c>
    </x:row>
    <x:row r="85" ht="57" customHeight="1">
      <x:c r="A85" s="15" t="str">
        <x:v>P15 / C6-A1</x:v>
      </x:c>
      <x:c r="B85" s="15" t="str">
        <x:v>C6</x:v>
      </x:c>
      <x:c r="C85" s="15" t="str">
        <x:v>P15</x:v>
      </x:c>
      <x:c r="D85" s="15" t="str">
        <x:v>C6-A1</x:v>
      </x:c>
      <x:c r="E85" s="15" t="str">
        <x:v>Contractual</x:v>
      </x:c>
      <x:c r="F85" s="15" t="str">
        <x:v>Diseño e implementación de espacios de participación con actores institucionales, comunitarios, académicos y productivos.</x:v>
      </x:c>
      <x:c r="G85" s="21" t="str">
        <x:v>Sebastián Cartagena; Liliana Restrepo; Curaduría Museo; Paola Andrea Ruiz Franco</x:v>
      </x:c>
      <x:c r="H85" s="21" t="str">
        <x:v>Personas desagregadas y ponderadas en Asignaciones</x:v>
      </x:c>
      <x:c r="I85" s="22" t="n">
        <x:v>0.3825</x:v>
      </x:c>
      <x:c r="J85" s="29" t="str">
        <x:f>IF(SUMIFS(Asignaciones!$P$6:$P$325,Asignaciones!$A$6:$A$325,A85)&gt;0,"",SUMIFS(Asignaciones!$K$6:$K$325,Asignaciones!$A$6:$A$325,A85))</x:f>
      </x:c>
      <x:c r="K85" s="16" t="str">
        <x:f>IF(ISNUMBER(J85),I85*J85,"")</x:f>
      </x:c>
      <x:c r="L85" s="23"/>
      <x:c r="M85" s="21"/>
      <x:c r="N85" s="21"/>
      <x:c r="O85" s="15" t="n">
        <x:f>COUNTIFS(Tareas!$B$6:$B$1005,A85)</x:f>
        <x:v>0</x:v>
      </x:c>
      <x:c r="P85" s="15" t="str">
        <x:v>P15-A01; P15-A02; P15-A03; P15-A06</x:v>
      </x:c>
      <x:c r="Q85" s="15" t="str">
        <x:v>Plan e instrumentos de participación
Mapa y registro de actores
Actas, registros y sistematización
Borrador técnico completo de P15</x:v>
      </x:c>
      <x:c r="R85" s="15" t="str">
        <x:v>Propuesta por correspondencia temática. Validar responsables y alcance dentro del entregable.</x:v>
      </x:c>
      <x:c r="S85" s="27" t="n">
        <x:f>IF(ISNUMBER(J85),0,1)</x:f>
        <x:v>1</x:v>
      </x:c>
      <x:c r="T85" s="43" t="n">
        <x:f>SUMIFS(Asignaciones!$G$6:$G$325,Asignaciones!$A$6:$A$325,A85)</x:f>
        <x:v>1</x:v>
      </x:c>
    </x:row>
    <x:row r="86" ht="42" customHeight="1">
      <x:c r="A86" s="15" t="str">
        <x:v>P15 / C6-A2</x:v>
      </x:c>
      <x:c r="B86" s="15" t="str">
        <x:v>C6</x:v>
      </x:c>
      <x:c r="C86" s="15" t="str">
        <x:v>P15</x:v>
      </x:c>
      <x:c r="D86" s="15" t="str">
        <x:v>C6-A2</x:v>
      </x:c>
      <x:c r="E86" s="15" t="str">
        <x:v>Contractual</x:v>
      </x:c>
      <x:c r="F86" s="15" t="str">
        <x:v>Validación técnica y social de los resultados del proceso.</x:v>
      </x:c>
      <x:c r="G86" s="21" t="str">
        <x:v>Sebastián Cartagena; Paola Andrea Ruiz Franco</x:v>
      </x:c>
      <x:c r="H86" s="21" t="str">
        <x:v>Personas desagregadas y ponderadas en Asignaciones</x:v>
      </x:c>
      <x:c r="I86" s="22" t="n">
        <x:v>0.2125</x:v>
      </x:c>
      <x:c r="J86" s="29" t="str">
        <x:f>IF(SUMIFS(Asignaciones!$P$6:$P$325,Asignaciones!$A$6:$A$325,A86)&gt;0,"",SUMIFS(Asignaciones!$K$6:$K$325,Asignaciones!$A$6:$A$325,A86))</x:f>
      </x:c>
      <x:c r="K86" s="16" t="str">
        <x:f>IF(ISNUMBER(J86),I86*J86,"")</x:f>
      </x:c>
      <x:c r="L86" s="23"/>
      <x:c r="M86" s="21"/>
      <x:c r="N86" s="21"/>
      <x:c r="O86" s="15" t="n">
        <x:f>COUNTIFS(Tareas!$B$6:$B$1005,A86)</x:f>
        <x:v>0</x:v>
      </x:c>
      <x:c r="P86" s="15" t="str">
        <x:v>P15-A04</x:v>
      </x:c>
      <x:c r="Q86" s="15" t="str">
        <x:v>Matriz de observaciones y respuestas</x:v>
      </x:c>
      <x:c r="R86" s="15" t="str">
        <x:v>Propuesta por correspondencia temática. Validar responsables y alcance dentro del entregable.</x:v>
      </x:c>
      <x:c r="S86" s="27" t="n">
        <x:f>IF(ISNUMBER(J86),0,1)</x:f>
        <x:v>1</x:v>
      </x:c>
      <x:c r="T86" s="43" t="n">
        <x:f>SUMIFS(Asignaciones!$G$6:$G$325,Asignaciones!$A$6:$A$325,A86)</x:f>
        <x:v>1</x:v>
      </x:c>
    </x:row>
    <x:row r="87" ht="57" customHeight="1">
      <x:c r="A87" s="15" t="str">
        <x:v>P15 / C6-A3</x:v>
      </x:c>
      <x:c r="B87" s="15" t="str">
        <x:v>C6</x:v>
      </x:c>
      <x:c r="C87" s="15" t="str">
        <x:v>P15</x:v>
      </x:c>
      <x:c r="D87" s="15" t="str">
        <x:v>C6-A3</x:v>
      </x:c>
      <x:c r="E87" s="15" t="str">
        <x:v>Contractual</x:v>
      </x:c>
      <x:c r="F87" s="15" t="str">
        <x:v>Elaboración de materiales de comunicación y divulgación.</x:v>
      </x:c>
      <x:c r="G87" s="21" t="str">
        <x:v>Liliana Restrepo; Curaduría Museo; Sebastián Cartagena; Paola Andrea Ruiz Franco</x:v>
      </x:c>
      <x:c r="H87" s="21" t="str">
        <x:v>Personas desagregadas y ponderadas en Asignaciones</x:v>
      </x:c>
      <x:c r="I87" s="22" t="n">
        <x:v>0.255</x:v>
      </x:c>
      <x:c r="J87" s="29" t="str">
        <x:f>IF(SUMIFS(Asignaciones!$P$6:$P$325,Asignaciones!$A$6:$A$325,A87)&gt;0,"",SUMIFS(Asignaciones!$K$6:$K$325,Asignaciones!$A$6:$A$325,A87))</x:f>
      </x:c>
      <x:c r="K87" s="16" t="str">
        <x:f>IF(ISNUMBER(J87),I87*J87,"")</x:f>
      </x:c>
      <x:c r="L87" s="23"/>
      <x:c r="M87" s="21"/>
      <x:c r="N87" s="21"/>
      <x:c r="O87" s="15" t="n">
        <x:f>COUNTIFS(Tareas!$B$6:$B$1005,A87)</x:f>
        <x:v>0</x:v>
      </x:c>
      <x:c r="P87" s="15" t="str">
        <x:v>P15-A05</x:v>
      </x:c>
      <x:c r="Q87" s="15" t="str">
        <x:v>Estrategia de comunicación</x:v>
      </x:c>
      <x:c r="R87" s="15" t="str">
        <x:v>Propuesta por correspondencia temática. Validar responsables y alcance dentro del entregable.</x:v>
      </x:c>
      <x:c r="S87" s="27" t="n">
        <x:f>IF(ISNUMBER(J87),0,1)</x:f>
        <x:v>1</x:v>
      </x:c>
      <x:c r="T87" s="43" t="n">
        <x:f>SUMIFS(Asignaciones!$G$6:$G$325,Asignaciones!$A$6:$A$325,A87)</x:f>
        <x:v>1</x:v>
      </x:c>
    </x:row>
    <x:row r="88" ht="42" customHeight="1">
      <x:c r="A88" s="15" t="str">
        <x:v>P15 / R01</x:v>
      </x:c>
      <x:c r="B88" s="15" t="str">
        <x:v>C6</x:v>
      </x:c>
      <x:c r="C88" s="15" t="str">
        <x:v>P15</x:v>
      </x:c>
      <x:c r="D88" s="15" t="str">
        <x:v>R01</x:v>
      </x:c>
      <x:c r="E88" s="15" t="str">
        <x:v>Revisión y aval</x:v>
      </x:c>
      <x:c r="F88" s="15" t="str">
        <x:v>Revisar integralmente la calidad técnica, coherencia, trazabilidad contractual y suficiencia del entregable</x:v>
      </x:c>
      <x:c r="G88" s="21" t="str">
        <x:v>Guillermo Penagos; María José Suárez</x:v>
      </x:c>
      <x:c r="H88" s="21" t="str">
        <x:v>Personas desagregadas y ponderadas en Asignaciones</x:v>
      </x:c>
      <x:c r="I88" s="22" t="n">
        <x:v>0.1</x:v>
      </x:c>
      <x:c r="J88" s="29" t="str">
        <x:f>IF(SUMIFS(Asignaciones!$P$6:$P$325,Asignaciones!$A$6:$A$325,A88)&gt;0,"",SUMIFS(Asignaciones!$K$6:$K$325,Asignaciones!$A$6:$A$325,A88))</x:f>
      </x:c>
      <x:c r="K88" s="16" t="str">
        <x:f>IF(ISNUMBER(J88),I88*J88,"")</x:f>
      </x:c>
      <x:c r="L88" s="23"/>
      <x:c r="M88" s="21"/>
      <x:c r="N88" s="21"/>
      <x:c r="O88" s="15" t="n">
        <x:f>COUNTIFS(Tareas!$B$6:$B$1005,A88)</x:f>
        <x:v>0</x:v>
      </x:c>
      <x:c r="P88" s="15" t="str">
        <x:v>P15-R01</x:v>
      </x:c>
      <x:c r="Q88" s="15" t="str">
        <x:v>Concepto consolidado de revisión y aval</x:v>
      </x:c>
      <x:c r="R88" s="15" t="str">
        <x:v>Etapa de revisión del original. No es actividad contractual adicional.</x:v>
      </x:c>
      <x:c r="S88" s="27" t="n">
        <x:f>IF(ISNUMBER(J88),0,1)</x:f>
        <x:v>1</x:v>
      </x:c>
      <x:c r="T88" s="43" t="n">
        <x:f>SUMIFS(Asignaciones!$G$6:$G$325,Asignaciones!$A$6:$A$325,A88)</x:f>
        <x:v>1</x:v>
      </x:c>
    </x:row>
    <x:row r="89" ht="42" customHeight="1">
      <x:c r="A89" s="15" t="str">
        <x:v>P15 / R02</x:v>
      </x:c>
      <x:c r="B89" s="15" t="str">
        <x:v>C6</x:v>
      </x:c>
      <x:c r="C89" s="15" t="str">
        <x:v>P15</x:v>
      </x:c>
      <x:c r="D89" s="15" t="str">
        <x:v>R02</x:v>
      </x:c>
      <x:c r="E89" s="15" t="str">
        <x:v>Revisión final Secretaría</x:v>
      </x:c>
      <x:c r="F89" s="15" t="str">
        <x:v>Realizar la revisión final institucional y emitir observaciones o conformidad para el cierre del entregable</x:v>
      </x:c>
      <x:c r="G89" s="21" t="str">
        <x:v>Juana — Secretaría de Medio Ambiente</x:v>
      </x:c>
      <x:c r="H89" s="21" t="str">
        <x:v>Personas desagregadas y ponderadas en Asignaciones</x:v>
      </x:c>
      <x:c r="I89" s="22" t="n">
        <x:v>0.05</x:v>
      </x:c>
      <x:c r="J89" s="29" t="str">
        <x:f>IF(SUMIFS(Asignaciones!$P$6:$P$325,Asignaciones!$A$6:$A$325,A89)&gt;0,"",SUMIFS(Asignaciones!$K$6:$K$325,Asignaciones!$A$6:$A$325,A89))</x:f>
      </x:c>
      <x:c r="K89" s="16" t="str">
        <x:f>IF(ISNUMBER(J89),I89*J89,"")</x:f>
      </x:c>
      <x:c r="L89" s="23"/>
      <x:c r="M89" s="21"/>
      <x:c r="N89" s="21"/>
      <x:c r="O89" s="15" t="n">
        <x:f>COUNTIFS(Tareas!$B$6:$B$1005,A89)</x:f>
        <x:v>0</x:v>
      </x:c>
      <x:c r="P89" s="15" t="str">
        <x:v>P15-R02</x:v>
      </x:c>
      <x:c r="Q89" s="15" t="str">
        <x:v>Concepto u observaciones finales de la Secretaría</x:v>
      </x:c>
      <x:c r="R89" s="15" t="str">
        <x:v>Etapa de revisión del original. No es actividad contractual adicional.</x:v>
      </x:c>
      <x:c r="S89" s="27" t="n">
        <x:f>IF(ISNUMBER(J89),0,1)</x:f>
        <x:v>1</x:v>
      </x:c>
      <x:c r="T89" s="43" t="n">
        <x:f>SUMIFS(Asignaciones!$G$6:$G$325,Asignaciones!$A$6:$A$325,A89)</x:f>
        <x:v>1</x:v>
      </x:c>
    </x:row>
    <x:row r="90" ht="42" customHeight="1">
      <x:c r="A90" s="15" t="str">
        <x:v>P16 / C6-A2</x:v>
      </x:c>
      <x:c r="B90" s="15" t="str">
        <x:v>C6</x:v>
      </x:c>
      <x:c r="C90" s="15" t="str">
        <x:v>P16</x:v>
      </x:c>
      <x:c r="D90" s="15" t="str">
        <x:v>C6-A2</x:v>
      </x:c>
      <x:c r="E90" s="15" t="str">
        <x:v>Contractual</x:v>
      </x:c>
      <x:c r="F90" s="15" t="str">
        <x:v>Validación técnica y social de los resultados del proceso.</x:v>
      </x:c>
      <x:c r="G90" s="21" t="str">
        <x:v>Liliana Restrepo; Paola Andrea Ruiz Franco</x:v>
      </x:c>
      <x:c r="H90" s="21" t="str">
        <x:v>Personas desagregadas y ponderadas en Asignaciones</x:v>
      </x:c>
      <x:c r="I90" s="22" t="n">
        <x:v>0.17</x:v>
      </x:c>
      <x:c r="J90" s="29" t="str">
        <x:f>IF(SUMIFS(Asignaciones!$P$6:$P$325,Asignaciones!$A$6:$A$325,A90)&gt;0,"",SUMIFS(Asignaciones!$K$6:$K$325,Asignaciones!$A$6:$A$325,A90))</x:f>
      </x:c>
      <x:c r="K90" s="16" t="str">
        <x:f>IF(ISNUMBER(J90),I90*J90,"")</x:f>
      </x:c>
      <x:c r="L90" s="23"/>
      <x:c r="M90" s="21"/>
      <x:c r="N90" s="21"/>
      <x:c r="O90" s="15" t="n">
        <x:f>COUNTIFS(Tareas!$B$6:$B$1005,A90)</x:f>
        <x:v>0</x:v>
      </x:c>
      <x:c r="P90" s="15" t="str">
        <x:v>P16-A05</x:v>
      </x:c>
      <x:c r="Q90" s="15" t="str">
        <x:v>Informe de validación</x:v>
      </x:c>
      <x:c r="R90" s="15" t="str">
        <x:v>Propuesta por correspondencia temática. Validar responsables y alcance dentro del entregable.</x:v>
      </x:c>
      <x:c r="S90" s="27" t="n">
        <x:f>IF(ISNUMBER(J90),0,1)</x:f>
        <x:v>1</x:v>
      </x:c>
      <x:c r="T90" s="43" t="n">
        <x:f>SUMIFS(Asignaciones!$G$6:$G$325,Asignaciones!$A$6:$A$325,A90)</x:f>
        <x:v>1</x:v>
      </x:c>
    </x:row>
    <x:row r="91" ht="87" customHeight="1">
      <x:c r="A91" s="15" t="str">
        <x:v>P16 / C6-A3</x:v>
      </x:c>
      <x:c r="B91" s="15" t="str">
        <x:v>C6</x:v>
      </x:c>
      <x:c r="C91" s="15" t="str">
        <x:v>P16</x:v>
      </x:c>
      <x:c r="D91" s="15" t="str">
        <x:v>C6-A3</x:v>
      </x:c>
      <x:c r="E91" s="15" t="str">
        <x:v>Contractual</x:v>
      </x:c>
      <x:c r="F91" s="15" t="str">
        <x:v>Elaboración de materiales de comunicación y divulgación.</x:v>
      </x:c>
      <x:c r="G91" s="21" t="str">
        <x:v>Sebastián Cartagena; Liliana Restrepo; Curaduría Museo; Juliana Valencia; Marcos Arango Tamayo; Vanessa García Leoz; Alejandro Silva Cortés; Paola Andrea Ruiz Franco</x:v>
      </x:c>
      <x:c r="H91" s="21" t="str">
        <x:v>Personas desagregadas y ponderadas en Asignaciones</x:v>
      </x:c>
      <x:c r="I91" s="22" t="n">
        <x:v>0.425</x:v>
      </x:c>
      <x:c r="J91" s="29" t="str">
        <x:f>IF(SUMIFS(Asignaciones!$P$6:$P$325,Asignaciones!$A$6:$A$325,A91)&gt;0,"",SUMIFS(Asignaciones!$K$6:$K$325,Asignaciones!$A$6:$A$325,A91))</x:f>
      </x:c>
      <x:c r="K91" s="16" t="str">
        <x:f>IF(ISNUMBER(J91),I91*J91,"")</x:f>
      </x:c>
      <x:c r="L91" s="23"/>
      <x:c r="M91" s="21"/>
      <x:c r="N91" s="21"/>
      <x:c r="O91" s="15" t="n">
        <x:f>COUNTIFS(Tareas!$B$6:$B$1005,A91)</x:f>
        <x:v>0</x:v>
      </x:c>
      <x:c r="P91" s="15" t="str">
        <x:v>P16-A01; P16-A02; P16-A03; P16-A04</x:v>
      </x:c>
      <x:c r="Q91" s="15" t="str">
        <x:v>Guion editorial
Textos ciudadanos por capítulo
Matriz de mensajes y narrativa
Propuesta visual e infografías</x:v>
      </x:c>
      <x:c r="R91" s="15" t="str">
        <x:v>Propuesta por correspondencia temática. Validar responsables y alcance dentro del entregable.</x:v>
      </x:c>
      <x:c r="S91" s="27" t="n">
        <x:f>IF(ISNUMBER(J91),0,1)</x:f>
        <x:v>1</x:v>
      </x:c>
      <x:c r="T91" s="43" t="n">
        <x:f>SUMIFS(Asignaciones!$G$6:$G$325,Asignaciones!$A$6:$A$325,A91)</x:f>
        <x:v>1</x:v>
      </x:c>
    </x:row>
    <x:row r="92" ht="42" customHeight="1">
      <x:c r="A92" s="15" t="str">
        <x:v>P16 / C6-A4</x:v>
      </x:c>
      <x:c r="B92" s="15" t="str">
        <x:v>C6</x:v>
      </x:c>
      <x:c r="C92" s="15" t="str">
        <x:v>P16</x:v>
      </x:c>
      <x:c r="D92" s="15" t="str">
        <x:v>C6-A4</x:v>
      </x:c>
      <x:c r="E92" s="15" t="str">
        <x:v>Contractual</x:v>
      </x:c>
      <x:c r="F92" s="15" t="str">
        <x:v>Diagramación y publicación de los documentos finales.</x:v>
      </x:c>
      <x:c r="G92" s="21" t="str">
        <x:v>Liliana Restrepo; Curaduría Museo; Paola Andrea Ruiz Franco</x:v>
      </x:c>
      <x:c r="H92" s="21" t="str">
        <x:v>Personas desagregadas y ponderadas en Asignaciones</x:v>
      </x:c>
      <x:c r="I92" s="22" t="n">
        <x:v>0.255</x:v>
      </x:c>
      <x:c r="J92" s="29" t="str">
        <x:f>IF(SUMIFS(Asignaciones!$P$6:$P$325,Asignaciones!$A$6:$A$325,A92)&gt;0,"",SUMIFS(Asignaciones!$K$6:$K$325,Asignaciones!$A$6:$A$325,A92))</x:f>
      </x:c>
      <x:c r="K92" s="16" t="str">
        <x:f>IF(ISNUMBER(J92),I92*J92,"")</x:f>
      </x:c>
      <x:c r="L92" s="23"/>
      <x:c r="M92" s="21"/>
      <x:c r="N92" s="21"/>
      <x:c r="O92" s="15" t="n">
        <x:f>COUNTIFS(Tareas!$B$6:$B$1005,A92)</x:f>
        <x:v>0</x:v>
      </x:c>
      <x:c r="P92" s="15" t="str">
        <x:v>P16-A06</x:v>
      </x:c>
      <x:c r="Q92" s="15" t="str">
        <x:v>Borrador completo de P16</x:v>
      </x:c>
      <x:c r="R92" s="15" t="str">
        <x:v>Propuesta por correspondencia temática. Validar responsables y alcance dentro del entregable.</x:v>
      </x:c>
      <x:c r="S92" s="27" t="n">
        <x:f>IF(ISNUMBER(J92),0,1)</x:f>
        <x:v>1</x:v>
      </x:c>
      <x:c r="T92" s="43" t="n">
        <x:f>SUMIFS(Asignaciones!$G$6:$G$325,Asignaciones!$A$6:$A$325,A92)</x:f>
        <x:v>1</x:v>
      </x:c>
    </x:row>
    <x:row r="93" ht="42" customHeight="1">
      <x:c r="A93" s="15" t="str">
        <x:v>P16 / R01</x:v>
      </x:c>
      <x:c r="B93" s="15" t="str">
        <x:v>C6</x:v>
      </x:c>
      <x:c r="C93" s="15" t="str">
        <x:v>P16</x:v>
      </x:c>
      <x:c r="D93" s="15" t="str">
        <x:v>R01</x:v>
      </x:c>
      <x:c r="E93" s="15" t="str">
        <x:v>Revisión y aval</x:v>
      </x:c>
      <x:c r="F93" s="15" t="str">
        <x:v>Revisar integralmente la calidad técnica, coherencia, trazabilidad contractual y suficiencia del entregable</x:v>
      </x:c>
      <x:c r="G93" s="21" t="str">
        <x:v>Guillermo Penagos; María José Suárez</x:v>
      </x:c>
      <x:c r="H93" s="21" t="str">
        <x:v>Personas desagregadas y ponderadas en Asignaciones</x:v>
      </x:c>
      <x:c r="I93" s="22" t="n">
        <x:v>0.1</x:v>
      </x:c>
      <x:c r="J93" s="29" t="str">
        <x:f>IF(SUMIFS(Asignaciones!$P$6:$P$325,Asignaciones!$A$6:$A$325,A93)&gt;0,"",SUMIFS(Asignaciones!$K$6:$K$325,Asignaciones!$A$6:$A$325,A93))</x:f>
      </x:c>
      <x:c r="K93" s="16" t="str">
        <x:f>IF(ISNUMBER(J93),I93*J93,"")</x:f>
      </x:c>
      <x:c r="L93" s="23"/>
      <x:c r="M93" s="21"/>
      <x:c r="N93" s="21"/>
      <x:c r="O93" s="15" t="n">
        <x:f>COUNTIFS(Tareas!$B$6:$B$1005,A93)</x:f>
        <x:v>0</x:v>
      </x:c>
      <x:c r="P93" s="15" t="str">
        <x:v>P16-R01</x:v>
      </x:c>
      <x:c r="Q93" s="15" t="str">
        <x:v>Concepto consolidado de revisión y aval</x:v>
      </x:c>
      <x:c r="R93" s="15" t="str">
        <x:v>Etapa de revisión del original. No es actividad contractual adicional.</x:v>
      </x:c>
      <x:c r="S93" s="27" t="n">
        <x:f>IF(ISNUMBER(J93),0,1)</x:f>
        <x:v>1</x:v>
      </x:c>
      <x:c r="T93" s="43" t="n">
        <x:f>SUMIFS(Asignaciones!$G$6:$G$325,Asignaciones!$A$6:$A$325,A93)</x:f>
        <x:v>1</x:v>
      </x:c>
    </x:row>
    <x:row r="94" ht="42" customHeight="1">
      <x:c r="A94" s="15" t="str">
        <x:v>P16 / R02</x:v>
      </x:c>
      <x:c r="B94" s="15" t="str">
        <x:v>C6</x:v>
      </x:c>
      <x:c r="C94" s="15" t="str">
        <x:v>P16</x:v>
      </x:c>
      <x:c r="D94" s="15" t="str">
        <x:v>R02</x:v>
      </x:c>
      <x:c r="E94" s="15" t="str">
        <x:v>Revisión final Secretaría</x:v>
      </x:c>
      <x:c r="F94" s="15" t="str">
        <x:v>Realizar la revisión final institucional y emitir observaciones o conformidad para el cierre del entregable</x:v>
      </x:c>
      <x:c r="G94" s="21" t="str">
        <x:v>Juana — Secretaría de Medio Ambiente</x:v>
      </x:c>
      <x:c r="H94" s="21" t="str">
        <x:v>Personas desagregadas y ponderadas en Asignaciones</x:v>
      </x:c>
      <x:c r="I94" s="22" t="n">
        <x:v>0.05</x:v>
      </x:c>
      <x:c r="J94" s="29" t="str">
        <x:f>IF(SUMIFS(Asignaciones!$P$6:$P$325,Asignaciones!$A$6:$A$325,A94)&gt;0,"",SUMIFS(Asignaciones!$K$6:$K$325,Asignaciones!$A$6:$A$325,A94))</x:f>
      </x:c>
      <x:c r="K94" s="16" t="str">
        <x:f>IF(ISNUMBER(J94),I94*J94,"")</x:f>
      </x:c>
      <x:c r="L94" s="23"/>
      <x:c r="M94" s="21"/>
      <x:c r="N94" s="21"/>
      <x:c r="O94" s="15" t="n">
        <x:f>COUNTIFS(Tareas!$B$6:$B$1005,A94)</x:f>
        <x:v>0</x:v>
      </x:c>
      <x:c r="P94" s="15" t="str">
        <x:v>P16-R02</x:v>
      </x:c>
      <x:c r="Q94" s="15" t="str">
        <x:v>Concepto u observaciones finales de la Secretaría</x:v>
      </x:c>
      <x:c r="R94" s="15" t="str">
        <x:v>Etapa de revisión del original. No es actividad contractual adicional.</x:v>
      </x:c>
      <x:c r="S94" s="27" t="n">
        <x:f>IF(ISNUMBER(J94),0,1)</x:f>
        <x:v>1</x:v>
      </x:c>
      <x:c r="T94" s="43" t="n">
        <x:f>SUMIFS(Asignaciones!$G$6:$G$325,Asignaciones!$A$6:$A$325,A94)</x:f>
        <x:v>1</x:v>
      </x:c>
    </x:row>
    <x:row r="95" ht="42" customHeight="1">
      <x:c r="A95" s="15" t="str">
        <x:v>P17 / C6-A2</x:v>
      </x:c>
      <x:c r="B95" s="15" t="str">
        <x:v>C6</x:v>
      </x:c>
      <x:c r="C95" s="15" t="str">
        <x:v>P17</x:v>
      </x:c>
      <x:c r="D95" s="15" t="str">
        <x:v>C6-A2</x:v>
      </x:c>
      <x:c r="E95" s="15" t="str">
        <x:v>Contractual</x:v>
      </x:c>
      <x:c r="F95" s="15" t="str">
        <x:v>Validación técnica y social de los resultados del proceso.</x:v>
      </x:c>
      <x:c r="G95" s="21" t="str">
        <x:v>Sebastián Cartagena; Liliana Restrepo; Paola Andrea Ruiz Franco</x:v>
      </x:c>
      <x:c r="H95" s="21" t="str">
        <x:v>Personas desagregadas y ponderadas en Asignaciones</x:v>
      </x:c>
      <x:c r="I95" s="22" t="n">
        <x:v>0.085</x:v>
      </x:c>
      <x:c r="J95" s="29" t="str">
        <x:f>IF(SUMIFS(Asignaciones!$P$6:$P$325,Asignaciones!$A$6:$A$325,A95)&gt;0,"",SUMIFS(Asignaciones!$K$6:$K$325,Asignaciones!$A$6:$A$325,A95))</x:f>
      </x:c>
      <x:c r="K95" s="16" t="str">
        <x:f>IF(ISNUMBER(J95),I95*J95,"")</x:f>
      </x:c>
      <x:c r="L95" s="23"/>
      <x:c r="M95" s="21"/>
      <x:c r="N95" s="21"/>
      <x:c r="O95" s="15" t="n">
        <x:f>COUNTIFS(Tareas!$B$6:$B$1005,A95)</x:f>
        <x:v>0</x:v>
      </x:c>
      <x:c r="P95" s="15" t="str">
        <x:v>P17-A06</x:v>
      </x:c>
      <x:c r="Q95" s="15" t="str">
        <x:v>Informe de control de calidad</x:v>
      </x:c>
      <x:c r="R95" s="15" t="str">
        <x:v>Propuesta por correspondencia temática. Validar responsables y alcance dentro del entregable.</x:v>
      </x:c>
      <x:c r="S95" s="27" t="n">
        <x:f>IF(ISNUMBER(J95),0,1)</x:f>
        <x:v>1</x:v>
      </x:c>
      <x:c r="T95" s="43" t="n">
        <x:f>SUMIFS(Asignaciones!$G$6:$G$325,Asignaciones!$A$6:$A$325,A95)</x:f>
        <x:v>1</x:v>
      </x:c>
    </x:row>
    <x:row r="96" ht="57" customHeight="1">
      <x:c r="A96" s="15" t="str">
        <x:v>P17 / C6-A3</x:v>
      </x:c>
      <x:c r="B96" s="15" t="str">
        <x:v>C6</x:v>
      </x:c>
      <x:c r="C96" s="15" t="str">
        <x:v>P17</x:v>
      </x:c>
      <x:c r="D96" s="15" t="str">
        <x:v>C6-A3</x:v>
      </x:c>
      <x:c r="E96" s="15" t="str">
        <x:v>Contractual</x:v>
      </x:c>
      <x:c r="F96" s="15" t="str">
        <x:v>Elaboración de materiales de comunicación y divulgación.</x:v>
      </x:c>
      <x:c r="G96" s="21" t="str">
        <x:v>Sebastián Cartagena; Liliana Restrepo; Curaduría Museo; Paola Andrea Ruiz Franco</x:v>
      </x:c>
      <x:c r="H96" s="21" t="str">
        <x:v>Personas desagregadas y ponderadas en Asignaciones</x:v>
      </x:c>
      <x:c r="I96" s="22" t="n">
        <x:v>0.17</x:v>
      </x:c>
      <x:c r="J96" s="29" t="str">
        <x:f>IF(SUMIFS(Asignaciones!$P$6:$P$325,Asignaciones!$A$6:$A$325,A96)&gt;0,"",SUMIFS(Asignaciones!$K$6:$K$325,Asignaciones!$A$6:$A$325,A96))</x:f>
      </x:c>
      <x:c r="K96" s="16" t="str">
        <x:f>IF(ISNUMBER(J96),I96*J96,"")</x:f>
      </x:c>
      <x:c r="L96" s="23"/>
      <x:c r="M96" s="21"/>
      <x:c r="N96" s="21"/>
      <x:c r="O96" s="15" t="n">
        <x:f>COUNTIFS(Tareas!$B$6:$B$1005,A96)</x:f>
        <x:v>0</x:v>
      </x:c>
      <x:c r="P96" s="15" t="str">
        <x:v>P17-A02; P17-A04</x:v>
      </x:c>
      <x:c r="Q96" s="15" t="str">
        <x:v>Paquete editorial validado
Artes y piezas diagramadas</x:v>
      </x:c>
      <x:c r="R96" s="15" t="str">
        <x:v>Propuesta por correspondencia temática. Validar responsables y alcance dentro del entregable.</x:v>
      </x:c>
      <x:c r="S96" s="27" t="n">
        <x:f>IF(ISNUMBER(J96),0,1)</x:f>
        <x:v>1</x:v>
      </x:c>
      <x:c r="T96" s="43" t="n">
        <x:f>SUMIFS(Asignaciones!$G$6:$G$325,Asignaciones!$A$6:$A$325,A96)</x:f>
        <x:v>1</x:v>
      </x:c>
    </x:row>
    <x:row r="97" ht="87" customHeight="1">
      <x:c r="A97" s="15" t="str">
        <x:v>P17 / C6-A4</x:v>
      </x:c>
      <x:c r="B97" s="15" t="str">
        <x:v>C6</x:v>
      </x:c>
      <x:c r="C97" s="15" t="str">
        <x:v>P17</x:v>
      </x:c>
      <x:c r="D97" s="15" t="str">
        <x:v>C6-A4</x:v>
      </x:c>
      <x:c r="E97" s="15" t="str">
        <x:v>Contractual</x:v>
      </x:c>
      <x:c r="F97" s="15" t="str">
        <x:v>Diagramación y publicación de los documentos finales.</x:v>
      </x:c>
      <x:c r="G97" s="21" t="str">
        <x:v>Luis Eduardo Vahos Hernández; León Darío Orrego Espejo; Liliana Restrepo; Curaduría Museo; Daniel González Montoya; Paola Andrea Ruiz Franco</x:v>
      </x:c>
      <x:c r="H97" s="21" t="str">
        <x:v>Personas desagregadas y ponderadas en Asignaciones</x:v>
      </x:c>
      <x:c r="I97" s="22" t="n">
        <x:v>0.595</x:v>
      </x:c>
      <x:c r="J97" s="29" t="str">
        <x:f>IF(SUMIFS(Asignaciones!$P$6:$P$325,Asignaciones!$A$6:$A$325,A97)&gt;0,"",SUMIFS(Asignaciones!$K$6:$K$325,Asignaciones!$A$6:$A$325,A97))</x:f>
      </x:c>
      <x:c r="K97" s="16" t="str">
        <x:f>IF(ISNUMBER(J97),I97*J97,"")</x:f>
      </x:c>
      <x:c r="L97" s="23"/>
      <x:c r="M97" s="21"/>
      <x:c r="N97" s="21"/>
      <x:c r="O97" s="15" t="n">
        <x:f>COUNTIFS(Tareas!$B$6:$B$1005,A97)</x:f>
        <x:v>0</x:v>
      </x:c>
      <x:c r="P97" s="15" t="str">
        <x:v>P17-A01; P17-A03; P17-A05</x:v>
      </x:c>
      <x:c r="Q97" s="15" t="str">
        <x:v>Plan editorial y técnico
Prototipo de navegación
Publicación digital funcional</x:v>
      </x:c>
      <x:c r="R97" s="15" t="str">
        <x:v>Propuesta por correspondencia temática. Validar responsables y alcance dentro del entregable.</x:v>
      </x:c>
      <x:c r="S97" s="27" t="n">
        <x:f>IF(ISNUMBER(J97),0,1)</x:f>
        <x:v>1</x:v>
      </x:c>
      <x:c r="T97" s="43" t="n">
        <x:f>SUMIFS(Asignaciones!$G$6:$G$325,Asignaciones!$A$6:$A$325,A97)</x:f>
        <x:v>0.9999999999999999</x:v>
      </x:c>
    </x:row>
    <x:row r="98" ht="42" customHeight="1">
      <x:c r="A98" s="15" t="str">
        <x:v>P17 / R01</x:v>
      </x:c>
      <x:c r="B98" s="15" t="str">
        <x:v>C6</x:v>
      </x:c>
      <x:c r="C98" s="15" t="str">
        <x:v>P17</x:v>
      </x:c>
      <x:c r="D98" s="15" t="str">
        <x:v>R01</x:v>
      </x:c>
      <x:c r="E98" s="15" t="str">
        <x:v>Revisión y aval</x:v>
      </x:c>
      <x:c r="F98" s="15" t="str">
        <x:v>Revisar integralmente la calidad técnica, coherencia, trazabilidad contractual y suficiencia del entregable</x:v>
      </x:c>
      <x:c r="G98" s="21" t="str">
        <x:v>Guillermo Penagos; María José Suárez</x:v>
      </x:c>
      <x:c r="H98" s="21" t="str">
        <x:v>Personas desagregadas y ponderadas en Asignaciones</x:v>
      </x:c>
      <x:c r="I98" s="22" t="n">
        <x:v>0.1</x:v>
      </x:c>
      <x:c r="J98" s="29" t="str">
        <x:f>IF(SUMIFS(Asignaciones!$P$6:$P$325,Asignaciones!$A$6:$A$325,A98)&gt;0,"",SUMIFS(Asignaciones!$K$6:$K$325,Asignaciones!$A$6:$A$325,A98))</x:f>
      </x:c>
      <x:c r="K98" s="16" t="str">
        <x:f>IF(ISNUMBER(J98),I98*J98,"")</x:f>
      </x:c>
      <x:c r="L98" s="23"/>
      <x:c r="M98" s="21"/>
      <x:c r="N98" s="21"/>
      <x:c r="O98" s="15" t="n">
        <x:f>COUNTIFS(Tareas!$B$6:$B$1005,A98)</x:f>
        <x:v>0</x:v>
      </x:c>
      <x:c r="P98" s="15" t="str">
        <x:v>P17-R01</x:v>
      </x:c>
      <x:c r="Q98" s="15" t="str">
        <x:v>Concepto consolidado de revisión y aval</x:v>
      </x:c>
      <x:c r="R98" s="15" t="str">
        <x:v>Etapa de revisión del original. No es actividad contractual adicional.</x:v>
      </x:c>
      <x:c r="S98" s="27" t="n">
        <x:f>IF(ISNUMBER(J98),0,1)</x:f>
        <x:v>1</x:v>
      </x:c>
      <x:c r="T98" s="43" t="n">
        <x:f>SUMIFS(Asignaciones!$G$6:$G$325,Asignaciones!$A$6:$A$325,A98)</x:f>
        <x:v>1</x:v>
      </x:c>
    </x:row>
    <x:row r="99" ht="42" customHeight="1">
      <x:c r="A99" s="15" t="str">
        <x:v>P17 / R02</x:v>
      </x:c>
      <x:c r="B99" s="15" t="str">
        <x:v>C6</x:v>
      </x:c>
      <x:c r="C99" s="15" t="str">
        <x:v>P17</x:v>
      </x:c>
      <x:c r="D99" s="15" t="str">
        <x:v>R02</x:v>
      </x:c>
      <x:c r="E99" s="15" t="str">
        <x:v>Revisión final Secretaría</x:v>
      </x:c>
      <x:c r="F99" s="15" t="str">
        <x:v>Realizar la revisión final institucional y emitir observaciones o conformidad para el cierre del entregable</x:v>
      </x:c>
      <x:c r="G99" s="21" t="str">
        <x:v>Juana — Secretaría de Medio Ambiente</x:v>
      </x:c>
      <x:c r="H99" s="21" t="str">
        <x:v>Personas desagregadas y ponderadas en Asignaciones</x:v>
      </x:c>
      <x:c r="I99" s="22" t="n">
        <x:v>0.05</x:v>
      </x:c>
      <x:c r="J99" s="29" t="str">
        <x:f>IF(SUMIFS(Asignaciones!$P$6:$P$325,Asignaciones!$A$6:$A$325,A99)&gt;0,"",SUMIFS(Asignaciones!$K$6:$K$325,Asignaciones!$A$6:$A$325,A99))</x:f>
      </x:c>
      <x:c r="K99" s="16" t="str">
        <x:f>IF(ISNUMBER(J99),I99*J99,"")</x:f>
      </x:c>
      <x:c r="L99" s="23"/>
      <x:c r="M99" s="21"/>
      <x:c r="N99" s="21"/>
      <x:c r="O99" s="15" t="n">
        <x:f>COUNTIFS(Tareas!$B$6:$B$1005,A99)</x:f>
        <x:v>0</x:v>
      </x:c>
      <x:c r="P99" s="15" t="str">
        <x:v>P17-R02</x:v>
      </x:c>
      <x:c r="Q99" s="15" t="str">
        <x:v>Concepto u observaciones finales de la Secretaría</x:v>
      </x:c>
      <x:c r="R99" s="15" t="str">
        <x:v>Etapa de revisión del original. No es actividad contractual adicional.</x:v>
      </x:c>
      <x:c r="S99" s="27" t="n">
        <x:f>IF(ISNUMBER(J99),0,1)</x:f>
        <x:v>1</x:v>
      </x:c>
      <x:c r="T99" s="43" t="n">
        <x:f>SUMIFS(Asignaciones!$G$6:$G$325,Asignaciones!$A$6:$A$325,A99)</x:f>
        <x:v>1</x:v>
      </x:c>
    </x:row>
    <x:row r="100" ht="72" customHeight="1">
      <x:c r="A100" s="15" t="str">
        <x:v>P18 / C6-A2</x:v>
      </x:c>
      <x:c r="B100" s="15" t="str">
        <x:v>C6</x:v>
      </x:c>
      <x:c r="C100" s="15" t="str">
        <x:v>P18</x:v>
      </x:c>
      <x:c r="D100" s="15" t="str">
        <x:v>C6-A2</x:v>
      </x:c>
      <x:c r="E100" s="15" t="str">
        <x:v>Contractual</x:v>
      </x:c>
      <x:c r="F100" s="15" t="str">
        <x:v>Validación técnica y social de los resultados del proceso.</x:v>
      </x:c>
      <x:c r="G100" s="21" t="str">
        <x:v>Juliana Valencia; Vanessa García Leoz; Sebastián Cartagena; Marcos Arango Tamayo; Paola Andrea Ruiz Franco</x:v>
      </x:c>
      <x:c r="H100" s="21" t="str">
        <x:v>Personas desagregadas y ponderadas en Asignaciones</x:v>
      </x:c>
      <x:c r="I100" s="22" t="n">
        <x:v>0.17</x:v>
      </x:c>
      <x:c r="J100" s="29" t="str">
        <x:f>IF(SUMIFS(Asignaciones!$P$6:$P$325,Asignaciones!$A$6:$A$325,A100)&gt;0,"",SUMIFS(Asignaciones!$K$6:$K$325,Asignaciones!$A$6:$A$325,A100))</x:f>
      </x:c>
      <x:c r="K100" s="16" t="str">
        <x:f>IF(ISNUMBER(J100),I100*J100,"")</x:f>
      </x:c>
      <x:c r="L100" s="23"/>
      <x:c r="M100" s="21"/>
      <x:c r="N100" s="21"/>
      <x:c r="O100" s="15" t="n">
        <x:f>COUNTIFS(Tareas!$B$6:$B$1005,A100)</x:f>
        <x:v>0</x:v>
      </x:c>
      <x:c r="P100" s="15" t="str">
        <x:v>P18-A01; P18-A06</x:v>
      </x:c>
      <x:c r="Q100" s="15" t="str">
        <x:v>Matriz de hallazgos priorizados
Borrador completo de P18</x:v>
      </x:c>
      <x:c r="R100" s="15" t="str">
        <x:v>Propuesta por correspondencia temática. Validar responsables y alcance dentro del entregable.</x:v>
      </x:c>
      <x:c r="S100" s="27" t="n">
        <x:f>IF(ISNUMBER(J100),0,1)</x:f>
        <x:v>1</x:v>
      </x:c>
      <x:c r="T100" s="43" t="n">
        <x:f>SUMIFS(Asignaciones!$G$6:$G$325,Asignaciones!$A$6:$A$325,A100)</x:f>
        <x:v>1</x:v>
      </x:c>
    </x:row>
    <x:row r="101" ht="102" customHeight="1">
      <x:c r="A101" s="15" t="str">
        <x:v>P18 / C6-A3</x:v>
      </x:c>
      <x:c r="B101" s="15" t="str">
        <x:v>C6</x:v>
      </x:c>
      <x:c r="C101" s="15" t="str">
        <x:v>P18</x:v>
      </x:c>
      <x:c r="D101" s="15" t="str">
        <x:v>C6-A3</x:v>
      </x:c>
      <x:c r="E101" s="15" t="str">
        <x:v>Contractual</x:v>
      </x:c>
      <x:c r="F101" s="15" t="str">
        <x:v>Elaboración de materiales de comunicación y divulgación.</x:v>
      </x:c>
      <x:c r="G101" s="21" t="str">
        <x:v>Juliana Valencia; Marcos Arango Tamayo; Vanessa García Leoz; Liliana Restrepo; Curaduría Museo; Jeiner de Jesús Castellanos Barliza; Sebastián Cartagena; Paola Andrea Ruiz Franco</x:v>
      </x:c>
      <x:c r="H101" s="21" t="str">
        <x:v>Personas desagregadas y ponderadas en Asignaciones</x:v>
      </x:c>
      <x:c r="I101" s="22" t="n">
        <x:v>0.425</x:v>
      </x:c>
      <x:c r="J101" s="29" t="str">
        <x:f>IF(SUMIFS(Asignaciones!$P$6:$P$325,Asignaciones!$A$6:$A$325,A101)&gt;0,"",SUMIFS(Asignaciones!$K$6:$K$325,Asignaciones!$A$6:$A$325,A101))</x:f>
      </x:c>
      <x:c r="K101" s="16" t="str">
        <x:f>IF(ISNUMBER(J101),I101*J101,"")</x:f>
      </x:c>
      <x:c r="L101" s="23"/>
      <x:c r="M101" s="21"/>
      <x:c r="N101" s="21"/>
      <x:c r="O101" s="15" t="n">
        <x:f>COUNTIFS(Tareas!$B$6:$B$1005,A101)</x:f>
        <x:v>0</x:v>
      </x:c>
      <x:c r="P101" s="15" t="str">
        <x:v>P18-A02; P18-A03; P18-A04; P18-A05</x:v>
      </x:c>
      <x:c r="Q101" s="15" t="str">
        <x:v>Guion y matriz de mensajes
Textos divulgativos
Paquete de visualizaciones
Propuesta editorial y gráfica</x:v>
      </x:c>
      <x:c r="R101" s="15" t="str">
        <x:v>Propuesta por correspondencia temática. Validar responsables y alcance dentro del entregable.</x:v>
      </x:c>
      <x:c r="S101" s="27" t="n">
        <x:f>IF(ISNUMBER(J101),0,1)</x:f>
        <x:v>1</x:v>
      </x:c>
      <x:c r="T101" s="43" t="n">
        <x:f>SUMIFS(Asignaciones!$G$6:$G$325,Asignaciones!$A$6:$A$325,A101)</x:f>
        <x:v>1</x:v>
      </x:c>
    </x:row>
    <x:row r="102" ht="57" customHeight="1">
      <x:c r="A102" s="15" t="str">
        <x:v>P18 / C6-A4</x:v>
      </x:c>
      <x:c r="B102" s="15" t="str">
        <x:v>C6</x:v>
      </x:c>
      <x:c r="C102" s="15" t="str">
        <x:v>P18</x:v>
      </x:c>
      <x:c r="D102" s="15" t="str">
        <x:v>C6-A4</x:v>
      </x:c>
      <x:c r="E102" s="15" t="str">
        <x:v>Contractual</x:v>
      </x:c>
      <x:c r="F102" s="15" t="str">
        <x:v>Diagramación y publicación de los documentos finales.</x:v>
      </x:c>
      <x:c r="G102" s="21" t="str">
        <x:v>Sebastián Cartagena; Curaduría Museo; Juliana Valencia; Paola Andrea Ruiz Franco</x:v>
      </x:c>
      <x:c r="H102" s="21" t="str">
        <x:v>Personas desagregadas y ponderadas en Asignaciones</x:v>
      </x:c>
      <x:c r="I102" s="22" t="n">
        <x:v>0.255</x:v>
      </x:c>
      <x:c r="J102" s="29" t="str">
        <x:f>IF(SUMIFS(Asignaciones!$P$6:$P$325,Asignaciones!$A$6:$A$325,A102)&gt;0,"",SUMIFS(Asignaciones!$K$6:$K$325,Asignaciones!$A$6:$A$325,A102))</x:f>
      </x:c>
      <x:c r="K102" s="16" t="str">
        <x:f>IF(ISNUMBER(J102),I102*J102,"")</x:f>
      </x:c>
      <x:c r="L102" s="23"/>
      <x:c r="M102" s="21"/>
      <x:c r="N102" s="21"/>
      <x:c r="O102" s="15" t="n">
        <x:f>COUNTIFS(Tareas!$B$6:$B$1005,A102)</x:f>
        <x:v>0</x:v>
      </x:c>
      <x:c r="P102" s="15" t="str">
        <x:v>P18-A06</x:v>
      </x:c>
      <x:c r="Q102" s="15" t="str">
        <x:v>Borrador completo de P18</x:v>
      </x:c>
      <x:c r="R102" s="15" t="str">
        <x:v>Propuesta por correspondencia temática. Validar responsables y alcance dentro del entregable.</x:v>
      </x:c>
      <x:c r="S102" s="27" t="n">
        <x:f>IF(ISNUMBER(J102),0,1)</x:f>
        <x:v>1</x:v>
      </x:c>
      <x:c r="T102" s="43" t="n">
        <x:f>SUMIFS(Asignaciones!$G$6:$G$325,Asignaciones!$A$6:$A$325,A102)</x:f>
        <x:v>1</x:v>
      </x:c>
    </x:row>
    <x:row r="103" ht="42" customHeight="1">
      <x:c r="A103" s="15" t="str">
        <x:v>P18 / R01</x:v>
      </x:c>
      <x:c r="B103" s="15" t="str">
        <x:v>C6</x:v>
      </x:c>
      <x:c r="C103" s="15" t="str">
        <x:v>P18</x:v>
      </x:c>
      <x:c r="D103" s="15" t="str">
        <x:v>R01</x:v>
      </x:c>
      <x:c r="E103" s="15" t="str">
        <x:v>Revisión y aval</x:v>
      </x:c>
      <x:c r="F103" s="15" t="str">
        <x:v>Revisar integralmente la calidad técnica, coherencia, trazabilidad contractual y suficiencia del entregable</x:v>
      </x:c>
      <x:c r="G103" s="21" t="str">
        <x:v>Guillermo Penagos; María José Suárez</x:v>
      </x:c>
      <x:c r="H103" s="21" t="str">
        <x:v>Personas desagregadas y ponderadas en Asignaciones</x:v>
      </x:c>
      <x:c r="I103" s="22" t="n">
        <x:v>0.1</x:v>
      </x:c>
      <x:c r="J103" s="29" t="str">
        <x:f>IF(SUMIFS(Asignaciones!$P$6:$P$325,Asignaciones!$A$6:$A$325,A103)&gt;0,"",SUMIFS(Asignaciones!$K$6:$K$325,Asignaciones!$A$6:$A$325,A103))</x:f>
      </x:c>
      <x:c r="K103" s="16" t="str">
        <x:f>IF(ISNUMBER(J103),I103*J103,"")</x:f>
      </x:c>
      <x:c r="L103" s="23"/>
      <x:c r="M103" s="21"/>
      <x:c r="N103" s="21"/>
      <x:c r="O103" s="15" t="n">
        <x:f>COUNTIFS(Tareas!$B$6:$B$1005,A103)</x:f>
        <x:v>0</x:v>
      </x:c>
      <x:c r="P103" s="15" t="str">
        <x:v>P18-R01</x:v>
      </x:c>
      <x:c r="Q103" s="15" t="str">
        <x:v>Concepto consolidado de revisión y aval</x:v>
      </x:c>
      <x:c r="R103" s="15" t="str">
        <x:v>Etapa de revisión del original. No es actividad contractual adicional.</x:v>
      </x:c>
      <x:c r="S103" s="27" t="n">
        <x:f>IF(ISNUMBER(J103),0,1)</x:f>
        <x:v>1</x:v>
      </x:c>
      <x:c r="T103" s="43" t="n">
        <x:f>SUMIFS(Asignaciones!$G$6:$G$325,Asignaciones!$A$6:$A$325,A103)</x:f>
        <x:v>1</x:v>
      </x:c>
    </x:row>
    <x:row r="104" ht="42" customHeight="1">
      <x:c r="A104" s="15" t="str">
        <x:v>P18 / R02</x:v>
      </x:c>
      <x:c r="B104" s="15" t="str">
        <x:v>C6</x:v>
      </x:c>
      <x:c r="C104" s="15" t="str">
        <x:v>P18</x:v>
      </x:c>
      <x:c r="D104" s="15" t="str">
        <x:v>R02</x:v>
      </x:c>
      <x:c r="E104" s="15" t="str">
        <x:v>Revisión final Secretaría</x:v>
      </x:c>
      <x:c r="F104" s="15" t="str">
        <x:v>Realizar la revisión final institucional y emitir observaciones o conformidad para el cierre del entregable</x:v>
      </x:c>
      <x:c r="G104" s="21" t="str">
        <x:v>Juana — Secretaría de Medio Ambiente</x:v>
      </x:c>
      <x:c r="H104" s="21" t="str">
        <x:v>Personas desagregadas y ponderadas en Asignaciones</x:v>
      </x:c>
      <x:c r="I104" s="22" t="n">
        <x:v>0.05</x:v>
      </x:c>
      <x:c r="J104" s="29" t="str">
        <x:f>IF(SUMIFS(Asignaciones!$P$6:$P$325,Asignaciones!$A$6:$A$325,A104)&gt;0,"",SUMIFS(Asignaciones!$K$6:$K$325,Asignaciones!$A$6:$A$325,A104))</x:f>
      </x:c>
      <x:c r="K104" s="16" t="str">
        <x:f>IF(ISNUMBER(J104),I104*J104,"")</x:f>
      </x:c>
      <x:c r="L104" s="23"/>
      <x:c r="M104" s="21"/>
      <x:c r="N104" s="21"/>
      <x:c r="O104" s="15" t="n">
        <x:f>COUNTIFS(Tareas!$B$6:$B$1005,A104)</x:f>
        <x:v>0</x:v>
      </x:c>
      <x:c r="P104" s="15" t="str">
        <x:v>P18-R02</x:v>
      </x:c>
      <x:c r="Q104" s="15" t="str">
        <x:v>Concepto u observaciones finales de la Secretaría</x:v>
      </x:c>
      <x:c r="R104" s="15" t="str">
        <x:v>Etapa de revisión del original. No es actividad contractual adicional.</x:v>
      </x:c>
      <x:c r="S104" s="27" t="n">
        <x:f>IF(ISNUMBER(J104),0,1)</x:f>
        <x:v>1</x:v>
      </x:c>
      <x:c r="T104" s="43" t="n">
        <x:f>SUMIFS(Asignaciones!$G$6:$G$325,Asignaciones!$A$6:$A$325,A104)</x:f>
        <x:v>1</x:v>
      </x:c>
    </x:row>
  </x:sheetData>
  <x:dataValidations count="1">
    <x:dataValidation type="decimal" operator="between" sqref="J6:J104">
      <x:formula1>0</x:formula1>
      <x:formula2>1</x:formula2>
    </x:dataValidation>
  </x:dataValidations>
  <x:pageMargins left="0.7" right="0.7" top="0.75" bottom="0.75" header="0.3" footer="0.3"/>
  <x:tableParts count="1">
    <x:tablePart xmlns:r="http://schemas.openxmlformats.org/officeDocument/2006/relationships" r:id="R3dcc967603614855"/>
  </x:tableParts>
</x:worksheet>
</file>

<file path=xl/worksheets/sheet2.xml><?xml version="1.0" encoding="utf-8"?>
<x:worksheet xmlns:x="http://schemas.openxmlformats.org/spreadsheetml/2006/main">
  <x:sheetPr>
    <x:tabColor rgb="FF243D57"/>
  </x:sheetPr>
  <x:sheetViews>
    <x:sheetView showGridLines="0" workbookViewId="0">
      <x:pane ySplit="5" topLeftCell="A6" activePane="bottomLeft" state="frozen"/>
    </x:sheetView>
  </x:sheetViews>
  <x:sheetFormatPr defaultRowHeight="15"/>
  <x:cols>
    <x:col min="1" max="1" width="16" hidden="0" customWidth="1"/>
    <x:col min="2" max="2" width="15" hidden="0" customWidth="1"/>
    <x:col min="3" max="3" width="75" hidden="0" customWidth="1"/>
    <x:col min="4" max="4" width="17" hidden="0" customWidth="1"/>
    <x:col min="5" max="5" width="17" hidden="0" customWidth="1"/>
    <x:col min="6" max="6" width="18" hidden="0" customWidth="1"/>
    <x:col min="7" max="7" width="18" hidden="0" customWidth="1"/>
    <x:col min="8" max="8" width="18" hidden="0" customWidth="1"/>
    <x:col min="9" max="9" width="26" hidden="0" customWidth="1"/>
    <x:col min="10" max="10" width="52" hidden="0" customWidth="1"/>
  </x:cols>
  <x:sheetData>
    <x:row r="1">
      <x:c r="A1" s="4"/>
      <x:c r="B1" s="4"/>
      <x:c r="C1" s="4"/>
      <x:c r="D1" s="4"/>
      <x:c r="E1" s="4"/>
      <x:c r="F1" s="4"/>
      <x:c r="G1" s="4"/>
      <x:c r="H1" s="4"/>
      <x:c r="I1" s="4"/>
      <x:c r="J1" s="4"/>
    </x:row>
    <x:row r="2">
      <x:c r="A2" s="7" t="str">
        <x:v>Avance por entregable y componente</x:v>
      </x:c>
      <x:c r="B2" s="4"/>
      <x:c r="C2" s="4"/>
      <x:c r="D2" s="4"/>
      <x:c r="E2" s="4"/>
      <x:c r="F2" s="4"/>
      <x:c r="G2" s="4"/>
      <x:c r="H2" s="4"/>
      <x:c r="I2" s="4"/>
      <x:c r="J2" s="4"/>
    </x:row>
    <x:row r="3">
      <x:c r="A3" s="8" t="str">
        <x:v>Los porcentajes se calculan al registrar el avance de todas las actividades y revisiones del entregable.</x:v>
      </x:c>
      <x:c r="B3" s="4"/>
      <x:c r="C3" s="4"/>
      <x:c r="D3" s="4"/>
      <x:c r="E3" s="4"/>
      <x:c r="F3" s="4"/>
      <x:c r="G3" s="4"/>
      <x:c r="H3" s="4"/>
      <x:c r="I3" s="4"/>
      <x:c r="J3" s="4"/>
    </x:row>
    <x:row r="4">
      <x:c r="A4" s="4"/>
      <x:c r="B4" s="4"/>
      <x:c r="C4" s="4"/>
      <x:c r="D4" s="4"/>
      <x:c r="E4" s="4"/>
      <x:c r="F4" s="4"/>
      <x:c r="G4" s="4"/>
      <x:c r="H4" s="4"/>
      <x:c r="I4" s="4"/>
      <x:c r="J4" s="4"/>
    </x:row>
    <x:row r="5" ht="32" customHeight="1">
      <x:c r="A5" s="11" t="str">
        <x:v>Componente</x:v>
      </x:c>
      <x:c r="B5" s="11" t="str">
        <x:v>Entregable</x:v>
      </x:c>
      <x:c r="C5" s="11" t="str">
        <x:v>Nombre entregable</x:v>
      </x:c>
      <x:c r="D5" s="11" t="str">
        <x:v>Peso en componente</x:v>
      </x:c>
      <x:c r="E5" s="11" t="str">
        <x:v>Suma pesos actividades</x:v>
      </x:c>
      <x:c r="F5" s="11" t="str">
        <x:v>Actividades sin avance</x:v>
      </x:c>
      <x:c r="G5" s="11" t="str">
        <x:v>Avance entregable</x:v>
      </x:c>
      <x:c r="H5" s="11" t="str">
        <x:v>Aporte al componente</x:v>
      </x:c>
      <x:c r="I5" s="11" t="str">
        <x:v>Estado del reporte</x:v>
      </x:c>
      <x:c r="J5" s="11" t="str">
        <x:v>Nombre componente</x:v>
      </x:c>
    </x:row>
    <x:row r="6" ht="42" customHeight="1">
      <x:c r="A6" s="15" t="str">
        <x:v>C1</x:v>
      </x:c>
      <x:c r="B6" s="15" t="str">
        <x:v>P1</x:v>
      </x:c>
      <x:c r="C6" s="15" t="str">
        <x:v>Documento de caracterización socioeconómica, vulnerabilidad y brechas de equidad para la acción climática.</x:v>
      </x:c>
      <x:c r="D6" s="22" t="n">
        <x:v>0.5</x:v>
      </x:c>
      <x:c r="E6" s="16" t="n">
        <x:f>SUMIFS(Actividades!$I$6:$I$104,Actividades!$C$6:$C$104,B6)</x:f>
        <x:v>1</x:v>
      </x:c>
      <x:c r="F6" s="15" t="n">
        <x:f>SUMIFS(Actividades!$S$6:$S$104,Actividades!$C$6:$C$104,B6)</x:f>
        <x:v>4</x:v>
      </x:c>
      <x:c r="G6" s="16" t="str">
        <x:f>IF(F6&gt;0,"",SUMIFS(Actividades!$K$6:$K$104,Actividades!$C$6:$C$104,B6))</x:f>
      </x:c>
      <x:c r="H6" s="16" t="str">
        <x:f>IF(ISNUMBER(G6),G6*D6,"")</x:f>
      </x:c>
      <x:c r="I6" s="15" t="str">
        <x:f>IF(ABS(E6-1)&gt;0.00001,"Revisar pesos",IF(F6&gt;0,"Falta registrar avance","Reporte completo"))</x:f>
        <x:v>Falta registrar avance</x:v>
      </x:c>
      <x:c r="J6" s="15" t="str">
        <x:v>Evidencia, diagnóstico y prospectiva climática</x:v>
      </x:c>
    </x:row>
    <x:row r="7" ht="35" customHeight="1">
      <x:c r="A7" s="15" t="str">
        <x:v>C1</x:v>
      </x:c>
      <x:c r="B7" s="15" t="str">
        <x:v>P2</x:v>
      </x:c>
      <x:c r="C7" s="15" t="str">
        <x:v>Capítulo de diagnóstico y prospectiva climática consolidado.</x:v>
      </x:c>
      <x:c r="D7" s="22" t="n">
        <x:v>0.5</x:v>
      </x:c>
      <x:c r="E7" s="16" t="n">
        <x:f>SUMIFS(Actividades!$I$6:$I$104,Actividades!$C$6:$C$104,B7)</x:f>
        <x:v>1</x:v>
      </x:c>
      <x:c r="F7" s="15" t="n">
        <x:f>SUMIFS(Actividades!$S$6:$S$104,Actividades!$C$6:$C$104,B7)</x:f>
        <x:v>5</x:v>
      </x:c>
      <x:c r="G7" s="16" t="str">
        <x:f>IF(F7&gt;0,"",SUMIFS(Actividades!$K$6:$K$104,Actividades!$C$6:$C$104,B7))</x:f>
      </x:c>
      <x:c r="H7" s="16" t="str">
        <x:f>IF(ISNUMBER(G7),G7*D7,"")</x:f>
      </x:c>
      <x:c r="I7" s="15" t="str">
        <x:f>IF(ABS(E7-1)&gt;0.00001,"Revisar pesos",IF(F7&gt;0,"Falta registrar avance","Reporte completo"))</x:f>
        <x:v>Falta registrar avance</x:v>
      </x:c>
      <x:c r="J7" s="15" t="str">
        <x:v>Evidencia, diagnóstico y prospectiva climática</x:v>
      </x:c>
    </x:row>
    <x:row r="8" ht="42" customHeight="1">
      <x:c r="A8" s="15" t="str">
        <x:v>C2</x:v>
      </x:c>
      <x:c r="B8" s="15" t="str">
        <x:v>P3</x:v>
      </x:c>
      <x:c r="C8" s="15" t="str">
        <x:v>Capítulo de direccionamiento estratégico del PAC ajustado.</x:v>
      </x:c>
      <x:c r="D8" s="22" t="n">
        <x:v>0.5</x:v>
      </x:c>
      <x:c r="E8" s="16" t="n">
        <x:f>SUMIFS(Actividades!$I$6:$I$104,Actividades!$C$6:$C$104,B8)</x:f>
        <x:v>0.9999999999999999</x:v>
      </x:c>
      <x:c r="F8" s="15" t="n">
        <x:f>SUMIFS(Actividades!$S$6:$S$104,Actividades!$C$6:$C$104,B8)</x:f>
        <x:v>7</x:v>
      </x:c>
      <x:c r="G8" s="16" t="str">
        <x:f>IF(F8&gt;0,"",SUMIFS(Actividades!$K$6:$K$104,Actividades!$C$6:$C$104,B8))</x:f>
      </x:c>
      <x:c r="H8" s="16" t="str">
        <x:f>IF(ISNUMBER(G8),G8*D8,"")</x:f>
      </x:c>
      <x:c r="I8" s="15" t="str">
        <x:f>IF(ABS(E8-1)&gt;0.00001,"Revisar pesos",IF(F8&gt;0,"Falta registrar avance","Reporte completo"))</x:f>
        <x:v>Falta registrar avance</x:v>
      </x:c>
      <x:c r="J8" s="15" t="str">
        <x:v>Estructura estratégica</x:v>
      </x:c>
    </x:row>
    <x:row r="9" ht="42" customHeight="1">
      <x:c r="A9" s="15" t="str">
        <x:v>C2</x:v>
      </x:c>
      <x:c r="B9" s="15" t="str">
        <x:v>P4</x:v>
      </x:c>
      <x:c r="C9" s="15" t="str">
        <x:v>Documento anexo con matriz de coherencia estratégica del Plan, que presente la relación entre objetivos, acciones y medidas.</x:v>
      </x:c>
      <x:c r="D9" s="22" t="n">
        <x:v>0.5</x:v>
      </x:c>
      <x:c r="E9" s="16" t="n">
        <x:f>SUMIFS(Actividades!$I$6:$I$104,Actividades!$C$6:$C$104,B9)</x:f>
        <x:v>1</x:v>
      </x:c>
      <x:c r="F9" s="15" t="n">
        <x:f>SUMIFS(Actividades!$S$6:$S$104,Actividades!$C$6:$C$104,B9)</x:f>
        <x:v>6</x:v>
      </x:c>
      <x:c r="G9" s="16" t="str">
        <x:f>IF(F9&gt;0,"",SUMIFS(Actividades!$K$6:$K$104,Actividades!$C$6:$C$104,B9))</x:f>
      </x:c>
      <x:c r="H9" s="16" t="str">
        <x:f>IF(ISNUMBER(G9),G9*D9,"")</x:f>
      </x:c>
      <x:c r="I9" s="15" t="str">
        <x:f>IF(ABS(E9-1)&gt;0.00001,"Revisar pesos",IF(F9&gt;0,"Falta registrar avance","Reporte completo"))</x:f>
        <x:v>Falta registrar avance</x:v>
      </x:c>
      <x:c r="J9" s="15" t="str">
        <x:v>Estructura estratégica</x:v>
      </x:c>
    </x:row>
    <x:row r="10" ht="57" customHeight="1">
      <x:c r="A10" s="15" t="str">
        <x:v>C3</x:v>
      </x:c>
      <x:c r="B10" s="15" t="str">
        <x:v>P5</x:v>
      </x:c>
      <x:c r="C10" s="15" t="str">
        <x:v>Informe o capítulo con catálogo caracterizado de medidas de mitigación y adaptación para Medellín, con territorialización cuando sea posible y fichas técnicas sectoriales estandarizadas.</x:v>
      </x:c>
      <x:c r="D10" s="22" t="n">
        <x:v>0.3333333333333333</x:v>
      </x:c>
      <x:c r="E10" s="16" t="n">
        <x:f>SUMIFS(Actividades!$I$6:$I$104,Actividades!$C$6:$C$104,B10)</x:f>
        <x:v>1</x:v>
      </x:c>
      <x:c r="F10" s="15" t="n">
        <x:f>SUMIFS(Actividades!$S$6:$S$104,Actividades!$C$6:$C$104,B10)</x:f>
        <x:v>7</x:v>
      </x:c>
      <x:c r="G10" s="16" t="str">
        <x:f>IF(F10&gt;0,"",SUMIFS(Actividades!$K$6:$K$104,Actividades!$C$6:$C$104,B10))</x:f>
      </x:c>
      <x:c r="H10" s="16" t="str">
        <x:f>IF(ISNUMBER(G10),G10*D10,"")</x:f>
      </x:c>
      <x:c r="I10" s="15" t="str">
        <x:f>IF(ABS(E10-1)&gt;0.00001,"Revisar pesos",IF(F10&gt;0,"Falta registrar avance","Reporte completo"))</x:f>
        <x:v>Falta registrar avance</x:v>
      </x:c>
      <x:c r="J10" s="15" t="str">
        <x:v>Identificación y priorización de medidas de mitigación y adaptación</x:v>
      </x:c>
    </x:row>
    <x:row r="11" ht="57" customHeight="1">
      <x:c r="A11" s="15" t="str">
        <x:v>C3</x:v>
      </x:c>
      <x:c r="B11" s="15" t="str">
        <x:v>P6</x:v>
      </x:c>
      <x:c r="C11" s="15" t="str">
        <x:v>Documento técnico de priorización de medidas de mitigación y adaptación derivado del análisis multicriterio sistémico, con modelo AHP/ANP anexo.</x:v>
      </x:c>
      <x:c r="D11" s="22" t="n">
        <x:v>0.3333333333333333</x:v>
      </x:c>
      <x:c r="E11" s="16" t="n">
        <x:f>SUMIFS(Actividades!$I$6:$I$104,Actividades!$C$6:$C$104,B11)</x:f>
        <x:v>1</x:v>
      </x:c>
      <x:c r="F11" s="15" t="n">
        <x:f>SUMIFS(Actividades!$S$6:$S$104,Actividades!$C$6:$C$104,B11)</x:f>
        <x:v>8</x:v>
      </x:c>
      <x:c r="G11" s="16" t="str">
        <x:f>IF(F11&gt;0,"",SUMIFS(Actividades!$K$6:$K$104,Actividades!$C$6:$C$104,B11))</x:f>
      </x:c>
      <x:c r="H11" s="16" t="str">
        <x:f>IF(ISNUMBER(G11),G11*D11,"")</x:f>
      </x:c>
      <x:c r="I11" s="15" t="str">
        <x:f>IF(ABS(E11-1)&gt;0.00001,"Revisar pesos",IF(F11&gt;0,"Falta registrar avance","Reporte completo"))</x:f>
        <x:v>Falta registrar avance</x:v>
      </x:c>
      <x:c r="J11" s="15" t="str">
        <x:v>Identificación y priorización de medidas de mitigación y adaptación</x:v>
      </x:c>
    </x:row>
    <x:row r="12" ht="57" customHeight="1">
      <x:c r="A12" s="15" t="str">
        <x:v>C3</x:v>
      </x:c>
      <x:c r="B12" s="15" t="str">
        <x:v>P7</x:v>
      </x:c>
      <x:c r="C12" s="15" t="str">
        <x:v>Capítulo con hoja de ruta de descarbonización y resiliencia climática al 2050, con escenarios de trayectoria validados con apoyo de C40 y actores del Distrito.</x:v>
      </x:c>
      <x:c r="D12" s="22" t="n">
        <x:v>0.3333333333333333</x:v>
      </x:c>
      <x:c r="E12" s="16" t="n">
        <x:f>SUMIFS(Actividades!$I$6:$I$104,Actividades!$C$6:$C$104,B12)</x:f>
        <x:v>1</x:v>
      </x:c>
      <x:c r="F12" s="15" t="n">
        <x:f>SUMIFS(Actividades!$S$6:$S$104,Actividades!$C$6:$C$104,B12)</x:f>
        <x:v>8</x:v>
      </x:c>
      <x:c r="G12" s="16" t="str">
        <x:f>IF(F12&gt;0,"",SUMIFS(Actividades!$K$6:$K$104,Actividades!$C$6:$C$104,B12))</x:f>
      </x:c>
      <x:c r="H12" s="16" t="str">
        <x:f>IF(ISNUMBER(G12),G12*D12,"")</x:f>
      </x:c>
      <x:c r="I12" s="15" t="str">
        <x:f>IF(ABS(E12-1)&gt;0.00001,"Revisar pesos",IF(F12&gt;0,"Falta registrar avance","Reporte completo"))</x:f>
        <x:v>Falta registrar avance</x:v>
      </x:c>
      <x:c r="J12" s="15" t="str">
        <x:v>Identificación y priorización de medidas de mitigación y adaptación</x:v>
      </x:c>
    </x:row>
    <x:row r="13" ht="57" customHeight="1">
      <x:c r="A13" s="15" t="str">
        <x:v>C4</x:v>
      </x:c>
      <x:c r="B13" s="15" t="str">
        <x:v>P8</x:v>
      </x:c>
      <x:c r="C13" s="15" t="str">
        <x:v>Informe Hoja de articulación con el sistema de CTeI incluyendo apropiación social del conocimiento, divulgación de la ciencia climática y agenda de innovación para la acción climática.</x:v>
      </x:c>
      <x:c r="D13" s="22" t="n">
        <x:v>0.3333333333333333</x:v>
      </x:c>
      <x:c r="E13" s="16" t="n">
        <x:f>SUMIFS(Actividades!$I$6:$I$104,Actividades!$C$6:$C$104,B13)</x:f>
        <x:v>1</x:v>
      </x:c>
      <x:c r="F13" s="15" t="n">
        <x:f>SUMIFS(Actividades!$S$6:$S$104,Actividades!$C$6:$C$104,B13)</x:f>
        <x:v>7</x:v>
      </x:c>
      <x:c r="G13" s="16" t="str">
        <x:f>IF(F13&gt;0,"",SUMIFS(Actividades!$K$6:$K$104,Actividades!$C$6:$C$104,B13))</x:f>
      </x:c>
      <x:c r="H13" s="16" t="str">
        <x:f>IF(ISNUMBER(G13),G13*D13,"")</x:f>
      </x:c>
      <x:c r="I13" s="15" t="str">
        <x:f>IF(ABS(E13-1)&gt;0.00001,"Revisar pesos",IF(F13&gt;0,"Falta registrar avance","Reporte completo"))</x:f>
        <x:v>Falta registrar avance</x:v>
      </x:c>
      <x:c r="J13" s="15" t="str">
        <x:v>Integración de la Ciencia, Tecnología e Innovación (CTeI)</x:v>
      </x:c>
    </x:row>
    <x:row r="14" ht="57" customHeight="1">
      <x:c r="A14" s="15" t="str">
        <x:v>C4</x:v>
      </x:c>
      <x:c r="B14" s="15" t="str">
        <x:v>P9</x:v>
      </x:c>
      <x:c r="C14" s="15" t="str">
        <x:v>Sistema de Gobierno de Datos Climáticos para el PAC de Medellín que contiene indicadores y dashboard de seguimiento en el marco del sistema MERL.</x:v>
      </x:c>
      <x:c r="D14" s="22" t="n">
        <x:v>0.3333333333333333</x:v>
      </x:c>
      <x:c r="E14" s="16" t="n">
        <x:f>SUMIFS(Actividades!$I$6:$I$104,Actividades!$C$6:$C$104,B14)</x:f>
        <x:v>1</x:v>
      </x:c>
      <x:c r="F14" s="15" t="n">
        <x:f>SUMIFS(Actividades!$S$6:$S$104,Actividades!$C$6:$C$104,B14)</x:f>
        <x:v>5</x:v>
      </x:c>
      <x:c r="G14" s="16" t="str">
        <x:f>IF(F14&gt;0,"",SUMIFS(Actividades!$K$6:$K$104,Actividades!$C$6:$C$104,B14))</x:f>
      </x:c>
      <x:c r="H14" s="16" t="str">
        <x:f>IF(ISNUMBER(G14),G14*D14,"")</x:f>
      </x:c>
      <x:c r="I14" s="15" t="str">
        <x:f>IF(ABS(E14-1)&gt;0.00001,"Revisar pesos",IF(F14&gt;0,"Falta registrar avance","Reporte completo"))</x:f>
        <x:v>Falta registrar avance</x:v>
      </x:c>
      <x:c r="J14" s="15" t="str">
        <x:v>Integración de la Ciencia, Tecnología e Innovación (CTeI)</x:v>
      </x:c>
    </x:row>
    <x:row r="15" ht="42" customHeight="1">
      <x:c r="A15" s="15" t="str">
        <x:v>C4</x:v>
      </x:c>
      <x:c r="B15" s="15" t="str">
        <x:v>P10</x:v>
      </x:c>
      <x:c r="C15" s="15" t="str">
        <x:v>Asistente inteligente para consulta y trazabilidad de información climática.</x:v>
      </x:c>
      <x:c r="D15" s="22" t="n">
        <x:v>0.3333333333333333</x:v>
      </x:c>
      <x:c r="E15" s="16" t="n">
        <x:f>SUMIFS(Actividades!$I$6:$I$104,Actividades!$C$6:$C$104,B15)</x:f>
        <x:v>1</x:v>
      </x:c>
      <x:c r="F15" s="15" t="n">
        <x:f>SUMIFS(Actividades!$S$6:$S$104,Actividades!$C$6:$C$104,B15)</x:f>
        <x:v>4</x:v>
      </x:c>
      <x:c r="G15" s="16" t="str">
        <x:f>IF(F15&gt;0,"",SUMIFS(Actividades!$K$6:$K$104,Actividades!$C$6:$C$104,B15))</x:f>
      </x:c>
      <x:c r="H15" s="16" t="str">
        <x:f>IF(ISNUMBER(G15),G15*D15,"")</x:f>
      </x:c>
      <x:c r="I15" s="15" t="str">
        <x:f>IF(ABS(E15-1)&gt;0.00001,"Revisar pesos",IF(F15&gt;0,"Falta registrar avance","Reporte completo"))</x:f>
        <x:v>Falta registrar avance</x:v>
      </x:c>
      <x:c r="J15" s="15" t="str">
        <x:v>Integración de la Ciencia, Tecnología e Innovación (CTeI)</x:v>
      </x:c>
    </x:row>
    <x:row r="16" ht="42" customHeight="1">
      <x:c r="A16" s="15" t="str">
        <x:v>C5</x:v>
      </x:c>
      <x:c r="B16" s="15" t="str">
        <x:v>P11</x:v>
      </x:c>
      <x:c r="C16" s="15" t="str">
        <x:v>Informe con Matriz de Gestión de Riesgos y Barreras para la Implementación con sus respectivas acciones de mitigación institucional.</x:v>
      </x:c>
      <x:c r="D16" s="22" t="n">
        <x:v>0.25</x:v>
      </x:c>
      <x:c r="E16" s="16" t="n">
        <x:f>SUMIFS(Actividades!$I$6:$I$104,Actividades!$C$6:$C$104,B16)</x:f>
        <x:v>1</x:v>
      </x:c>
      <x:c r="F16" s="15" t="n">
        <x:f>SUMIFS(Actividades!$S$6:$S$104,Actividades!$C$6:$C$104,B16)</x:f>
        <x:v>3</x:v>
      </x:c>
      <x:c r="G16" s="16" t="str">
        <x:f>IF(F16&gt;0,"",SUMIFS(Actividades!$K$6:$K$104,Actividades!$C$6:$C$104,B16))</x:f>
      </x:c>
      <x:c r="H16" s="16" t="str">
        <x:f>IF(ISNUMBER(G16),G16*D16,"")</x:f>
      </x:c>
      <x:c r="I16" s="15" t="str">
        <x:f>IF(ABS(E16-1)&gt;0.00001,"Revisar pesos",IF(F16&gt;0,"Falta registrar avance","Reporte completo"))</x:f>
        <x:v>Falta registrar avance</x:v>
      </x:c>
      <x:c r="J16" s="15" t="str">
        <x:v>Implementación, financiamiento y sistema MERL</x:v>
      </x:c>
    </x:row>
    <x:row r="17" ht="57" customHeight="1">
      <x:c r="A17" s="15" t="str">
        <x:v>C5</x:v>
      </x:c>
      <x:c r="B17" s="15" t="str">
        <x:v>P12</x:v>
      </x:c>
      <x:c r="C17" s="15" t="str">
        <x:v>Informe con Cartera priorizada de proyectos climáticos bancables estructurada bajo criterios de viabilidad y articulada con el Diagnóstico de Oportunidades de Inversión Climática del Distrito.</x:v>
      </x:c>
      <x:c r="D17" s="22" t="n">
        <x:v>0.25</x:v>
      </x:c>
      <x:c r="E17" s="16" t="n">
        <x:f>SUMIFS(Actividades!$I$6:$I$104,Actividades!$C$6:$C$104,B17)</x:f>
        <x:v>1</x:v>
      </x:c>
      <x:c r="F17" s="15" t="n">
        <x:f>SUMIFS(Actividades!$S$6:$S$104,Actividades!$C$6:$C$104,B17)</x:f>
        <x:v>5</x:v>
      </x:c>
      <x:c r="G17" s="16" t="str">
        <x:f>IF(F17&gt;0,"",SUMIFS(Actividades!$K$6:$K$104,Actividades!$C$6:$C$104,B17))</x:f>
      </x:c>
      <x:c r="H17" s="16" t="str">
        <x:f>IF(ISNUMBER(G17),G17*D17,"")</x:f>
      </x:c>
      <x:c r="I17" s="15" t="str">
        <x:f>IF(ABS(E17-1)&gt;0.00001,"Revisar pesos",IF(F17&gt;0,"Falta registrar avance","Reporte completo"))</x:f>
        <x:v>Falta registrar avance</x:v>
      </x:c>
      <x:c r="J17" s="15" t="str">
        <x:v>Implementación, financiamiento y sistema MERL</x:v>
      </x:c>
    </x:row>
    <x:row r="18" ht="42" customHeight="1">
      <x:c r="A18" s="15" t="str">
        <x:v>C5</x:v>
      </x:c>
      <x:c r="B18" s="15" t="str">
        <x:v>P13</x:v>
      </x:c>
      <x:c r="C18" s="15" t="str">
        <x:v>Informe de Plan Financiero y Estrategia de Movilización de Recursos.</x:v>
      </x:c>
      <x:c r="D18" s="22" t="n">
        <x:v>0.25</x:v>
      </x:c>
      <x:c r="E18" s="16" t="n">
        <x:f>SUMIFS(Actividades!$I$6:$I$104,Actividades!$C$6:$C$104,B18)</x:f>
        <x:v>1</x:v>
      </x:c>
      <x:c r="F18" s="15" t="n">
        <x:f>SUMIFS(Actividades!$S$6:$S$104,Actividades!$C$6:$C$104,B18)</x:f>
        <x:v>5</x:v>
      </x:c>
      <x:c r="G18" s="16" t="str">
        <x:f>IF(F18&gt;0,"",SUMIFS(Actividades!$K$6:$K$104,Actividades!$C$6:$C$104,B18))</x:f>
      </x:c>
      <x:c r="H18" s="16" t="str">
        <x:f>IF(ISNUMBER(G18),G18*D18,"")</x:f>
      </x:c>
      <x:c r="I18" s="15" t="str">
        <x:f>IF(ABS(E18-1)&gt;0.00001,"Revisar pesos",IF(F18&gt;0,"Falta registrar avance","Reporte completo"))</x:f>
        <x:v>Falta registrar avance</x:v>
      </x:c>
      <x:c r="J18" s="15" t="str">
        <x:v>Implementación, financiamiento y sistema MERL</x:v>
      </x:c>
    </x:row>
    <x:row r="19" ht="57" customHeight="1">
      <x:c r="A19" s="15" t="str">
        <x:v>C5</x:v>
      </x:c>
      <x:c r="B19" s="15" t="str">
        <x:v>P14</x:v>
      </x:c>
      <x:c r="C19" s="15" t="str">
        <x:v>Informe Documento Técnico de Formulación del Sistema MERL con indicadores, estructura de gobernanza de datos y protocolos para reporte, seguimiento y actualización periódica.</x:v>
      </x:c>
      <x:c r="D19" s="22" t="n">
        <x:v>0.25</x:v>
      </x:c>
      <x:c r="E19" s="16" t="n">
        <x:f>SUMIFS(Actividades!$I$6:$I$104,Actividades!$C$6:$C$104,B19)</x:f>
        <x:v>1</x:v>
      </x:c>
      <x:c r="F19" s="15" t="n">
        <x:f>SUMIFS(Actividades!$S$6:$S$104,Actividades!$C$6:$C$104,B19)</x:f>
        <x:v>5</x:v>
      </x:c>
      <x:c r="G19" s="16" t="str">
        <x:f>IF(F19&gt;0,"",SUMIFS(Actividades!$K$6:$K$104,Actividades!$C$6:$C$104,B19))</x:f>
      </x:c>
      <x:c r="H19" s="16" t="str">
        <x:f>IF(ISNUMBER(G19),G19*D19,"")</x:f>
      </x:c>
      <x:c r="I19" s="15" t="str">
        <x:f>IF(ABS(E19-1)&gt;0.00001,"Revisar pesos",IF(F19&gt;0,"Falta registrar avance","Reporte completo"))</x:f>
        <x:v>Falta registrar avance</x:v>
      </x:c>
      <x:c r="J19" s="15" t="str">
        <x:v>Implementación, financiamiento y sistema MERL</x:v>
      </x:c>
    </x:row>
    <x:row r="20" ht="42" customHeight="1">
      <x:c r="A20" s="15" t="str">
        <x:v>C6</x:v>
      </x:c>
      <x:c r="B20" s="15" t="str">
        <x:v>P15</x:v>
      </x:c>
      <x:c r="C20" s="15" t="str">
        <x:v>Informe con Memoria del proceso participativo y estrategia de comunicación y divulgación.</x:v>
      </x:c>
      <x:c r="D20" s="22" t="n">
        <x:v>0.25</x:v>
      </x:c>
      <x:c r="E20" s="16" t="n">
        <x:f>SUMIFS(Actividades!$I$6:$I$104,Actividades!$C$6:$C$104,B20)</x:f>
        <x:v>1</x:v>
      </x:c>
      <x:c r="F20" s="15" t="n">
        <x:f>SUMIFS(Actividades!$S$6:$S$104,Actividades!$C$6:$C$104,B20)</x:f>
        <x:v>5</x:v>
      </x:c>
      <x:c r="G20" s="16" t="str">
        <x:f>IF(F20&gt;0,"",SUMIFS(Actividades!$K$6:$K$104,Actividades!$C$6:$C$104,B20))</x:f>
      </x:c>
      <x:c r="H20" s="16" t="str">
        <x:f>IF(ISNUMBER(G20),G20*D20,"")</x:f>
      </x:c>
      <x:c r="I20" s="15" t="str">
        <x:f>IF(ABS(E20-1)&gt;0.00001,"Revisar pesos",IF(F20&gt;0,"Falta registrar avance","Reporte completo"))</x:f>
        <x:v>Falta registrar avance</x:v>
      </x:c>
      <x:c r="J20" s="15" t="str">
        <x:v>Participación, gobernanza y comunicación</x:v>
      </x:c>
    </x:row>
    <x:row r="21" ht="35" customHeight="1">
      <x:c r="A21" s="15" t="str">
        <x:v>C6</x:v>
      </x:c>
      <x:c r="B21" s="15" t="str">
        <x:v>P16</x:v>
      </x:c>
      <x:c r="C21" s="15" t="str">
        <x:v>Versión ciudadana del PAC.</x:v>
      </x:c>
      <x:c r="D21" s="22" t="n">
        <x:v>0.25</x:v>
      </x:c>
      <x:c r="E21" s="16" t="n">
        <x:f>SUMIFS(Actividades!$I$6:$I$104,Actividades!$C$6:$C$104,B21)</x:f>
        <x:v>1</x:v>
      </x:c>
      <x:c r="F21" s="15" t="n">
        <x:f>SUMIFS(Actividades!$S$6:$S$104,Actividades!$C$6:$C$104,B21)</x:f>
        <x:v>5</x:v>
      </x:c>
      <x:c r="G21" s="16" t="str">
        <x:f>IF(F21&gt;0,"",SUMIFS(Actividades!$K$6:$K$104,Actividades!$C$6:$C$104,B21))</x:f>
      </x:c>
      <x:c r="H21" s="16" t="str">
        <x:f>IF(ISNUMBER(G21),G21*D21,"")</x:f>
      </x:c>
      <x:c r="I21" s="15" t="str">
        <x:f>IF(ABS(E21-1)&gt;0.00001,"Revisar pesos",IF(F21&gt;0,"Falta registrar avance","Reporte completo"))</x:f>
        <x:v>Falta registrar avance</x:v>
      </x:c>
      <x:c r="J21" s="15" t="str">
        <x:v>Participación, gobernanza y comunicación</x:v>
      </x:c>
    </x:row>
    <x:row r="22" ht="35" customHeight="1">
      <x:c r="A22" s="15" t="str">
        <x:v>C6</x:v>
      </x:c>
      <x:c r="B22" s="15" t="str">
        <x:v>P17</x:v>
      </x:c>
      <x:c r="C22" s="15" t="str">
        <x:v>Publicación digital del PAC actualizado.</x:v>
      </x:c>
      <x:c r="D22" s="22" t="n">
        <x:v>0.25</x:v>
      </x:c>
      <x:c r="E22" s="16" t="n">
        <x:f>SUMIFS(Actividades!$I$6:$I$104,Actividades!$C$6:$C$104,B22)</x:f>
        <x:v>1</x:v>
      </x:c>
      <x:c r="F22" s="15" t="n">
        <x:f>SUMIFS(Actividades!$S$6:$S$104,Actividades!$C$6:$C$104,B22)</x:f>
        <x:v>5</x:v>
      </x:c>
      <x:c r="G22" s="16" t="str">
        <x:f>IF(F22&gt;0,"",SUMIFS(Actividades!$K$6:$K$104,Actividades!$C$6:$C$104,B22))</x:f>
      </x:c>
      <x:c r="H22" s="16" t="str">
        <x:f>IF(ISNUMBER(G22),G22*D22,"")</x:f>
      </x:c>
      <x:c r="I22" s="15" t="str">
        <x:f>IF(ABS(E22-1)&gt;0.00001,"Revisar pesos",IF(F22&gt;0,"Falta registrar avance","Reporte completo"))</x:f>
        <x:v>Falta registrar avance</x:v>
      </x:c>
      <x:c r="J22" s="15" t="str">
        <x:v>Participación, gobernanza y comunicación</x:v>
      </x:c>
    </x:row>
    <x:row r="23" ht="35" customHeight="1">
      <x:c r="A23" s="15" t="str">
        <x:v>C6</x:v>
      </x:c>
      <x:c r="B23" s="15" t="str">
        <x:v>P18</x:v>
      </x:c>
      <x:c r="C23" s="15" t="str">
        <x:v>Documento divulgativo de la Evaluación de Riesgos Climáticos.</x:v>
      </x:c>
      <x:c r="D23" s="22" t="n">
        <x:v>0.25</x:v>
      </x:c>
      <x:c r="E23" s="16" t="n">
        <x:f>SUMIFS(Actividades!$I$6:$I$104,Actividades!$C$6:$C$104,B23)</x:f>
        <x:v>1</x:v>
      </x:c>
      <x:c r="F23" s="15" t="n">
        <x:f>SUMIFS(Actividades!$S$6:$S$104,Actividades!$C$6:$C$104,B23)</x:f>
        <x:v>5</x:v>
      </x:c>
      <x:c r="G23" s="16" t="str">
        <x:f>IF(F23&gt;0,"",SUMIFS(Actividades!$K$6:$K$104,Actividades!$C$6:$C$104,B23))</x:f>
      </x:c>
      <x:c r="H23" s="16" t="str">
        <x:f>IF(ISNUMBER(G23),G23*D23,"")</x:f>
      </x:c>
      <x:c r="I23" s="15" t="str">
        <x:f>IF(ABS(E23-1)&gt;0.00001,"Revisar pesos",IF(F23&gt;0,"Falta registrar avance","Reporte completo"))</x:f>
        <x:v>Falta registrar avance</x:v>
      </x:c>
      <x:c r="J23" s="15" t="str">
        <x:v>Participación, gobernanza y comunicación</x:v>
      </x:c>
    </x:row>
    <x:row r="24">
      <x:c r="A24" s="15"/>
      <x:c r="B24" s="15"/>
      <x:c r="C24" s="15"/>
      <x:c r="D24" s="15"/>
      <x:c r="E24" s="15"/>
      <x:c r="F24" s="15"/>
      <x:c r="G24" s="15"/>
      <x:c r="H24" s="15"/>
      <x:c r="I24" s="15"/>
      <x:c r="J24" s="15"/>
    </x:row>
    <x:row r="25">
      <x:c r="A25" s="15"/>
      <x:c r="B25" s="15"/>
      <x:c r="C25" s="15"/>
      <x:c r="D25" s="15"/>
      <x:c r="E25" s="15"/>
      <x:c r="F25" s="15"/>
      <x:c r="G25" s="15"/>
      <x:c r="H25" s="15"/>
      <x:c r="I25" s="15"/>
      <x:c r="J25" s="15"/>
    </x:row>
    <x:row r="26">
      <x:c r="A26" s="15"/>
      <x:c r="B26" s="15"/>
      <x:c r="C26" s="15"/>
      <x:c r="D26" s="15"/>
      <x:c r="E26" s="15"/>
      <x:c r="F26" s="15"/>
      <x:c r="G26" s="15"/>
      <x:c r="H26" s="15"/>
      <x:c r="I26" s="15"/>
      <x:c r="J26" s="15"/>
    </x:row>
    <x:row r="27" ht="32" customHeight="1">
      <x:c r="A27" s="26" t="str">
        <x:v>Componente</x:v>
      </x:c>
      <x:c r="B27" s="26" t="str">
        <x:v>Entregables sin avance</x:v>
      </x:c>
      <x:c r="C27" s="26" t="str">
        <x:v>Avance componente</x:v>
      </x:c>
      <x:c r="D27" s="26" t="str">
        <x:v>Suma pesos entregables</x:v>
      </x:c>
      <x:c r="E27" s="15"/>
      <x:c r="F27" s="15"/>
      <x:c r="G27" s="15"/>
      <x:c r="H27" s="15"/>
      <x:c r="I27" s="15"/>
      <x:c r="J27" s="15"/>
    </x:row>
    <x:row r="28" ht="28" customHeight="1">
      <x:c r="A28" s="15" t="str">
        <x:v>C1</x:v>
      </x:c>
      <x:c r="B28" s="15" t="n">
        <x:f>COUNTIFS($A$6:$A$23,A28)-COUNTIFS($A$6:$A$23,A28,$I$6:$I$23,"Reporte completo")</x:f>
        <x:v>2</x:v>
      </x:c>
      <x:c r="C28" s="16" t="str">
        <x:f>IF(B28&gt;0,"",SUMIFS($H$6:$H$23,$A$6:$A$23,A28))</x:f>
      </x:c>
      <x:c r="D28" s="16" t="n">
        <x:f>SUMIFS($D$6:$D$23,$A$6:$A$23,A28)</x:f>
        <x:v>1</x:v>
      </x:c>
      <x:c r="E28" s="15"/>
      <x:c r="F28" s="15"/>
      <x:c r="G28" s="15"/>
      <x:c r="H28" s="15"/>
      <x:c r="I28" s="15"/>
      <x:c r="J28" s="15"/>
    </x:row>
    <x:row r="29" ht="28" customHeight="1">
      <x:c r="A29" s="15" t="str">
        <x:v>C2</x:v>
      </x:c>
      <x:c r="B29" s="15" t="n">
        <x:f>COUNTIFS($A$6:$A$23,A29)-COUNTIFS($A$6:$A$23,A29,$I$6:$I$23,"Reporte completo")</x:f>
        <x:v>2</x:v>
      </x:c>
      <x:c r="C29" s="16" t="str">
        <x:f>IF(B29&gt;0,"",SUMIFS($H$6:$H$23,$A$6:$A$23,A29))</x:f>
      </x:c>
      <x:c r="D29" s="16" t="n">
        <x:f>SUMIFS($D$6:$D$23,$A$6:$A$23,A29)</x:f>
        <x:v>1</x:v>
      </x:c>
      <x:c r="E29" s="15"/>
      <x:c r="F29" s="15"/>
      <x:c r="G29" s="15"/>
      <x:c r="H29" s="15"/>
      <x:c r="I29" s="15"/>
      <x:c r="J29" s="15"/>
    </x:row>
    <x:row r="30" ht="28" customHeight="1">
      <x:c r="A30" s="15" t="str">
        <x:v>C3</x:v>
      </x:c>
      <x:c r="B30" s="15" t="n">
        <x:f>COUNTIFS($A$6:$A$23,A30)-COUNTIFS($A$6:$A$23,A30,$I$6:$I$23,"Reporte completo")</x:f>
        <x:v>3</x:v>
      </x:c>
      <x:c r="C30" s="16" t="str">
        <x:f>IF(B30&gt;0,"",SUMIFS($H$6:$H$23,$A$6:$A$23,A30))</x:f>
      </x:c>
      <x:c r="D30" s="16" t="n">
        <x:f>SUMIFS($D$6:$D$23,$A$6:$A$23,A30)</x:f>
        <x:v>1</x:v>
      </x:c>
      <x:c r="E30" s="15"/>
      <x:c r="F30" s="15"/>
      <x:c r="G30" s="15"/>
      <x:c r="H30" s="15"/>
      <x:c r="I30" s="15"/>
      <x:c r="J30" s="15"/>
    </x:row>
    <x:row r="31" ht="28" customHeight="1">
      <x:c r="A31" s="15" t="str">
        <x:v>C4</x:v>
      </x:c>
      <x:c r="B31" s="15" t="n">
        <x:f>COUNTIFS($A$6:$A$23,A31)-COUNTIFS($A$6:$A$23,A31,$I$6:$I$23,"Reporte completo")</x:f>
        <x:v>3</x:v>
      </x:c>
      <x:c r="C31" s="16" t="str">
        <x:f>IF(B31&gt;0,"",SUMIFS($H$6:$H$23,$A$6:$A$23,A31))</x:f>
      </x:c>
      <x:c r="D31" s="16" t="n">
        <x:f>SUMIFS($D$6:$D$23,$A$6:$A$23,A31)</x:f>
        <x:v>1</x:v>
      </x:c>
      <x:c r="E31" s="15"/>
      <x:c r="F31" s="15"/>
      <x:c r="G31" s="15"/>
      <x:c r="H31" s="15"/>
      <x:c r="I31" s="15"/>
      <x:c r="J31" s="15"/>
    </x:row>
    <x:row r="32" ht="28" customHeight="1">
      <x:c r="A32" s="15" t="str">
        <x:v>C5</x:v>
      </x:c>
      <x:c r="B32" s="15" t="n">
        <x:f>COUNTIFS($A$6:$A$23,A32)-COUNTIFS($A$6:$A$23,A32,$I$6:$I$23,"Reporte completo")</x:f>
        <x:v>4</x:v>
      </x:c>
      <x:c r="C32" s="16" t="str">
        <x:f>IF(B32&gt;0,"",SUMIFS($H$6:$H$23,$A$6:$A$23,A32))</x:f>
      </x:c>
      <x:c r="D32" s="16" t="n">
        <x:f>SUMIFS($D$6:$D$23,$A$6:$A$23,A32)</x:f>
        <x:v>1</x:v>
      </x:c>
      <x:c r="E32" s="15"/>
      <x:c r="F32" s="15"/>
      <x:c r="G32" s="15"/>
      <x:c r="H32" s="15"/>
      <x:c r="I32" s="15"/>
      <x:c r="J32" s="15"/>
    </x:row>
    <x:row r="33" ht="28" customHeight="1">
      <x:c r="A33" s="15" t="str">
        <x:v>C6</x:v>
      </x:c>
      <x:c r="B33" s="15" t="n">
        <x:f>COUNTIFS($A$6:$A$23,A33)-COUNTIFS($A$6:$A$23,A33,$I$6:$I$23,"Reporte completo")</x:f>
        <x:v>4</x:v>
      </x:c>
      <x:c r="C33" s="16" t="str">
        <x:f>IF(B33&gt;0,"",SUMIFS($H$6:$H$23,$A$6:$A$23,A33))</x:f>
      </x:c>
      <x:c r="D33" s="16" t="n">
        <x:f>SUMIFS($D$6:$D$23,$A$6:$A$23,A33)</x:f>
        <x:v>1</x:v>
      </x:c>
      <x:c r="E33" s="15"/>
      <x:c r="F33" s="15"/>
      <x:c r="G33" s="15"/>
      <x:c r="H33" s="15"/>
      <x:c r="I33" s="15"/>
      <x:c r="J33" s="15"/>
    </x:row>
  </x:sheetData>
  <x:pageMargins left="0.7" right="0.7" top="0.75" bottom="0.75" header="0.3" footer="0.3"/>
  <x:tableParts count="1">
    <x:tablePart xmlns:r="http://schemas.openxmlformats.org/officeDocument/2006/relationships" r:id="R384a0346ad1e4353"/>
  </x:tableParts>
</x:worksheet>
</file>

<file path=xl/worksheets/sheet3.xml><?xml version="1.0" encoding="utf-8"?>
<x:worksheet xmlns:x="http://schemas.openxmlformats.org/spreadsheetml/2006/main">
  <x:sheetPr>
    <x:tabColor rgb="FF243D57"/>
  </x:sheetPr>
  <x:sheetViews>
    <x:sheetView showGridLines="0" workbookViewId="0">
      <x:pane ySplit="5" topLeftCell="A6" activePane="bottomLeft" state="frozen"/>
    </x:sheetView>
  </x:sheetViews>
  <x:sheetFormatPr defaultRowHeight="15"/>
  <x:cols>
    <x:col min="1" max="1" width="19" hidden="0" customWidth="1"/>
    <x:col min="2" max="2" width="23" hidden="0" customWidth="1"/>
    <x:col min="3" max="3" width="85" hidden="0" customWidth="1"/>
    <x:col min="4" max="4" width="33" hidden="0" customWidth="1"/>
    <x:col min="5" max="5" width="18" hidden="0" customWidth="1"/>
    <x:col min="6" max="6" width="18" hidden="0" customWidth="1"/>
    <x:col min="7" max="7" width="17" hidden="0" customWidth="1"/>
    <x:col min="8" max="8" width="38" hidden="0" customWidth="1"/>
    <x:col min="9" max="9" width="48" hidden="0" customWidth="1"/>
    <x:col min="10" max="10" width="20" hidden="0" customWidth="1"/>
    <x:col min="11" max="11" width="64" hidden="0" customWidth="1"/>
    <x:col min="12" max="12" width="27" hidden="0" customWidth="1"/>
  </x:cols>
  <x:sheetData>
    <x:row r="1">
      <x:c r="A1" s="4"/>
      <x:c r="B1" s="4"/>
      <x:c r="C1" s="4"/>
      <x:c r="D1" s="4"/>
      <x:c r="E1" s="4"/>
      <x:c r="F1" s="4"/>
      <x:c r="G1" s="4"/>
      <x:c r="H1" s="4"/>
      <x:c r="I1" s="4"/>
      <x:c r="J1" s="4"/>
      <x:c r="K1" s="4"/>
      <x:c r="L1" s="4"/>
    </x:row>
    <x:row r="2">
      <x:c r="A2" s="7" t="str">
        <x:v>Tareas de seguimiento</x:v>
      </x:c>
      <x:c r="B2" s="4"/>
      <x:c r="C2" s="4"/>
      <x:c r="D2" s="4"/>
      <x:c r="E2" s="4"/>
      <x:c r="F2" s="4"/>
      <x:c r="G2" s="4"/>
      <x:c r="H2" s="4"/>
      <x:c r="I2" s="4"/>
      <x:c r="J2" s="4"/>
      <x:c r="K2" s="4"/>
      <x:c r="L2" s="4"/>
    </x:row>
    <x:row r="3">
      <x:c r="A3" s="8" t="str">
        <x:v>Pendientes documentales y compromisos de actas. Su avance no se suma automáticamente al de la actividad.</x:v>
      </x:c>
      <x:c r="B3" s="4"/>
      <x:c r="C3" s="4"/>
      <x:c r="D3" s="4"/>
      <x:c r="E3" s="4"/>
      <x:c r="F3" s="4"/>
      <x:c r="G3" s="4"/>
      <x:c r="H3" s="4"/>
      <x:c r="I3" s="4"/>
      <x:c r="J3" s="4"/>
      <x:c r="K3" s="4"/>
      <x:c r="L3" s="4"/>
    </x:row>
    <x:row r="4">
      <x:c r="A4" s="4"/>
      <x:c r="B4" s="4"/>
      <x:c r="C4" s="4"/>
      <x:c r="D4" s="4"/>
      <x:c r="E4" s="4"/>
      <x:c r="F4" s="4"/>
      <x:c r="G4" s="4"/>
      <x:c r="H4" s="4"/>
      <x:c r="I4" s="4"/>
      <x:c r="J4" s="4"/>
      <x:c r="K4" s="4"/>
      <x:c r="L4" s="4"/>
    </x:row>
    <x:row r="5" ht="32" customHeight="1">
      <x:c r="A5" s="11" t="str">
        <x:v>ID tarea</x:v>
      </x:c>
      <x:c r="B5" s="11" t="str">
        <x:v>Actividad relacionada</x:v>
      </x:c>
      <x:c r="C5" s="11" t="str">
        <x:v>Tarea / compromiso</x:v>
      </x:c>
      <x:c r="D5" s="11" t="str">
        <x:v>Responsable</x:v>
      </x:c>
      <x:c r="E5" s="11" t="str">
        <x:v>Fecha compromiso</x:v>
      </x:c>
      <x:c r="F5" s="11" t="str">
        <x:v>Estado</x:v>
      </x:c>
      <x:c r="G5" s="11" t="str">
        <x:v>Avance de la tarea</x:v>
      </x:c>
      <x:c r="H5" s="11" t="str">
        <x:v>Evidencia / enlace</x:v>
      </x:c>
      <x:c r="I5" s="11" t="str">
        <x:v>Resultado reportado</x:v>
      </x:c>
      <x:c r="J5" s="11" t="str">
        <x:v>Acta de origen</x:v>
      </x:c>
      <x:c r="K5" s="11" t="str">
        <x:v>Origen documental</x:v>
      </x:c>
      <x:c r="L5" s="11" t="str">
        <x:v>Tipo de pendiente</x:v>
      </x:c>
    </x:row>
    <x:row r="6" ht="42" customHeight="1">
      <x:c r="A6" s="15" t="str">
        <x:v>P1-A4-T1</x:v>
      </x:c>
      <x:c r="B6" s="15" t="str">
        <x:v>P1 / C1-A4</x:v>
      </x:c>
      <x:c r="C6" s="15" t="str">
        <x:v>Definir si los 8 grupos poblacionales continúan siendo prioritarios o si deben redefinirse con enfoque de interseccionalidad.</x:v>
      </x:c>
      <x:c r="D6" s="21"/>
      <x:c r="E6" s="23"/>
      <x:c r="F6" s="21" t="str">
        <x:v>Por asignar</x:v>
      </x:c>
      <x:c r="G6" s="24" t="n">
        <x:v>0</x:v>
      </x:c>
      <x:c r="H6" s="21"/>
      <x:c r="I6" s="21"/>
      <x:c r="J6" s="21"/>
      <x:c r="K6" s="15" t="str">
        <x:v>P1 · Sección 8 · PARA VALIDAR — Categorías de grupos poblacionales</x:v>
      </x:c>
      <x:c r="L6" s="15" t="str">
        <x:v>Validación / decisión</x:v>
      </x:c>
    </x:row>
    <x:row r="7" ht="42" customHeight="1">
      <x:c r="A7" s="15" t="str">
        <x:v>P1-A4-T2</x:v>
      </x:c>
      <x:c r="B7" s="15" t="str">
        <x:v>P1 / C1-A4</x:v>
      </x:c>
      <x:c r="C7" s="15" t="str">
        <x:v>Actualizar las cifras de población migrante, afrodescendiente e indígena con una fuente institucional vigente y documentar fuente/año.</x:v>
      </x:c>
      <x:c r="D7" s="21"/>
      <x:c r="E7" s="23"/>
      <x:c r="F7" s="21" t="str">
        <x:v>Por asignar</x:v>
      </x:c>
      <x:c r="G7" s="24" t="n">
        <x:v>0</x:v>
      </x:c>
      <x:c r="H7" s="21"/>
      <x:c r="I7" s="21"/>
      <x:c r="J7" s="21"/>
      <x:c r="K7" s="15" t="str">
        <x:v>P1 · Sección 8 · PARA ACTUALIZAR — Cifras desactualizadas</x:v>
      </x:c>
      <x:c r="L7" s="15" t="str">
        <x:v>Actualización de dato</x:v>
      </x:c>
    </x:row>
    <x:row r="8" ht="42" customHeight="1">
      <x:c r="A8" s="15" t="str">
        <x:v>P1-A4-T3</x:v>
      </x:c>
      <x:c r="B8" s="15" t="str">
        <x:v>P1 / C1-A4</x:v>
      </x:c>
      <x:c r="C8" s="15" t="str">
        <x:v>Identificar o confirmar una fuente más confiable para la población con discapacidad y documentar sus limitaciones.</x:v>
      </x:c>
      <x:c r="D8" s="21"/>
      <x:c r="E8" s="23"/>
      <x:c r="F8" s="21" t="str">
        <x:v>Por asignar</x:v>
      </x:c>
      <x:c r="G8" s="24" t="n">
        <x:v>0</x:v>
      </x:c>
      <x:c r="H8" s="21"/>
      <x:c r="I8" s="21"/>
      <x:c r="J8" s="21"/>
      <x:c r="K8" s="15" t="str">
        <x:v>P1 · Sección 8 · PARA ACTUALIZAR — Cifras desactualizadas</x:v>
      </x:c>
      <x:c r="L8" s="15" t="str">
        <x:v>Actualización de dato</x:v>
      </x:c>
    </x:row>
    <x:row r="9" ht="42" customHeight="1">
      <x:c r="A9" s="15" t="str">
        <x:v>P1-A4-T4</x:v>
      </x:c>
      <x:c r="B9" s="15" t="str">
        <x:v>P1 / C1-A4</x:v>
      </x:c>
      <x:c r="C9" s="15" t="str">
        <x:v>Construir el cruce georreferenciado entre grupos poblacionales y zonas de alto riesgo no mitigable, con datos demográficos por comuna/corregimiento.</x:v>
      </x:c>
      <x:c r="D9" s="21"/>
      <x:c r="E9" s="23"/>
      <x:c r="F9" s="21" t="str">
        <x:v>Por asignar</x:v>
      </x:c>
      <x:c r="G9" s="24" t="n">
        <x:v>0</x:v>
      </x:c>
      <x:c r="H9" s="21"/>
      <x:c r="I9" s="21"/>
      <x:c r="J9" s="21"/>
      <x:c r="K9" s="15" t="str">
        <x:v>P1 · Sección 5 y checklist final · ALERTA — Cruce con datos demográficos</x:v>
      </x:c>
      <x:c r="L9" s="15" t="str">
        <x:v>Investigación / construcción</x:v>
      </x:c>
    </x:row>
    <x:row r="10" ht="42" customHeight="1">
      <x:c r="A10" s="15" t="str">
        <x:v>P1-A5-T1</x:v>
      </x:c>
      <x:c r="B10" s="15" t="str">
        <x:v>P1 / C1-A5</x:v>
      </x:c>
      <x:c r="C10" s="15" t="str">
        <x:v>Definir quién debe autorizar formalmente el uso de la información técnica del POT en el PAC y dejar trazabilidad de la autorización requerida.</x:v>
      </x:c>
      <x:c r="D10" s="21"/>
      <x:c r="E10" s="23"/>
      <x:c r="F10" s="21" t="str">
        <x:v>Por asignar</x:v>
      </x:c>
      <x:c r="G10" s="24" t="n">
        <x:v>0</x:v>
      </x:c>
      <x:c r="H10" s="21"/>
      <x:c r="I10" s="21"/>
      <x:c r="J10" s="21"/>
      <x:c r="K10" s="15" t="str">
        <x:v>P1 · Sección 4 y checklist final · Fuente oficial de zonificación</x:v>
      </x:c>
      <x:c r="L10" s="15" t="str">
        <x:v>Coordinación / decisión</x:v>
      </x:c>
    </x:row>
    <x:row r="11" ht="57" customHeight="1">
      <x:c r="A11" s="15" t="str">
        <x:v>P1-A5-T2</x:v>
      </x:c>
      <x:c r="B11" s="15" t="str">
        <x:v>P1 / C1-A5</x:v>
      </x:c>
      <x:c r="C11" s="15" t="str">
        <x:v>Definir si se incorpora el hallazgo de que 33,8% del sistema primario de alcantarillado no tiene capacidad hidráulica suficiente y gestionar cifras equivalentes para energía, si existen.</x:v>
      </x:c>
      <x:c r="D11" s="21"/>
      <x:c r="E11" s="23"/>
      <x:c r="F11" s="21" t="str">
        <x:v>Por asignar</x:v>
      </x:c>
      <x:c r="G11" s="24" t="n">
        <x:v>0</x:v>
      </x:c>
      <x:c r="H11" s="21"/>
      <x:c r="I11" s="21"/>
      <x:c r="J11" s="21"/>
      <x:c r="K11" s="15" t="str">
        <x:v>P1 · Sección 6 · PARA ACTUALIZAR — Vulnerabilidad de infraestructura ante eventos extremos</x:v>
      </x:c>
      <x:c r="L11" s="15" t="str">
        <x:v>Actualización / validación</x:v>
      </x:c>
    </x:row>
    <x:row r="12" ht="57" customHeight="1">
      <x:c r="A12" s="15" t="str">
        <x:v>P1-A5-T3</x:v>
      </x:c>
      <x:c r="B12" s="15" t="str">
        <x:v>P1 / C1-A5</x:v>
      </x:c>
      <x:c r="C12" s="15" t="str">
        <x:v>Definir si el análisis de ocupación de vivienda rural en zonas de amenaza se incorpora como evidencia complementaria de exposición o queda fuera del alcance.</x:v>
      </x:c>
      <x:c r="D12" s="21"/>
      <x:c r="E12" s="23"/>
      <x:c r="F12" s="21" t="str">
        <x:v>Por asignar</x:v>
      </x:c>
      <x:c r="G12" s="24" t="n">
        <x:v>0</x:v>
      </x:c>
      <x:c r="H12" s="21"/>
      <x:c r="I12" s="21"/>
      <x:c r="J12" s="21"/>
      <x:c r="K12" s="15" t="str">
        <x:v>P1 · Sección 7 · PARA VALIDAR — Relevancia para este producto</x:v>
      </x:c>
      <x:c r="L12" s="15" t="str">
        <x:v>Validación / decisión</x:v>
      </x:c>
    </x:row>
    <x:row r="13" ht="42" customHeight="1">
      <x:c r="A13" s="15" t="str">
        <x:v>P1-A5-T4</x:v>
      </x:c>
      <x:c r="B13" s="15" t="str">
        <x:v>P1 / C1-A5</x:v>
      </x:c>
      <x:c r="C13" s="15" t="str">
        <x:v>Definir si se incorporan los siete riesgos en salud del Plan de Adaptación como factores de sensibilidad y capacidad de adaptación del P1.</x:v>
      </x:c>
      <x:c r="D13" s="21"/>
      <x:c r="E13" s="23"/>
      <x:c r="F13" s="21" t="str">
        <x:v>Por asignar</x:v>
      </x:c>
      <x:c r="G13" s="24" t="n">
        <x:v>0</x:v>
      </x:c>
      <x:c r="H13" s="21"/>
      <x:c r="I13" s="21"/>
      <x:c r="J13" s="21"/>
      <x:c r="K13" s="15" t="str">
        <x:v>P1 · Sección 9 · PARA VALIDAR — Priorización de riesgos en salud</x:v>
      </x:c>
      <x:c r="L13" s="15" t="str">
        <x:v>Validación / decisión</x:v>
      </x:c>
    </x:row>
    <x:row r="14" ht="42" customHeight="1">
      <x:c r="A14" s="15" t="str">
        <x:v>P2-A1-T1</x:v>
      </x:c>
      <x:c r="B14" s="15" t="str">
        <x:v>P2 / C1-A1</x:v>
      </x:c>
      <x:c r="C14" s="15" t="str">
        <x:v>Aclarar la cifra de variación '+14,8%' reportada por la Evaluación PAC 2026 frente a 2015 y documentar la base correcta de cálculo.</x:v>
      </x:c>
      <x:c r="D14" s="21"/>
      <x:c r="E14" s="23"/>
      <x:c r="F14" s="21" t="str">
        <x:v>Por asignar</x:v>
      </x:c>
      <x:c r="G14" s="24" t="n">
        <x:v>0</x:v>
      </x:c>
      <x:c r="H14" s="21"/>
      <x:c r="I14" s="21"/>
      <x:c r="J14" s="21"/>
      <x:c r="K14" s="15" t="str">
        <x:v>P2 · Sección 3 · PARA VALIDAR — Consistencia metodológica de la serie, punto 2</x:v>
      </x:c>
      <x:c r="L14" s="15" t="str">
        <x:v>Validación / consistencia</x:v>
      </x:c>
    </x:row>
    <x:row r="15" ht="42" customHeight="1">
      <x:c r="A15" s="15" t="str">
        <x:v>P2-A1-T2</x:v>
      </x:c>
      <x:c r="B15" s="15" t="str">
        <x:v>P2 / C1-A1</x:v>
      </x:c>
      <x:c r="C15" s="15" t="str">
        <x:v>Gestionar series de actividad 2024-2025 para electricidad, gas, combustibles y residuos, si existen, y documentar fuentes.</x:v>
      </x:c>
      <x:c r="D15" s="21"/>
      <x:c r="E15" s="23"/>
      <x:c r="F15" s="21" t="str">
        <x:v>Por asignar</x:v>
      </x:c>
      <x:c r="G15" s="24" t="n">
        <x:v>0</x:v>
      </x:c>
      <x:c r="H15" s="21"/>
      <x:c r="I15" s="21"/>
      <x:c r="J15" s="21"/>
      <x:c r="K15" s="15" t="str">
        <x:v>P2 · Sección 4 · PARA ACTUALIZAR — Series de actividad más recientes</x:v>
      </x:c>
      <x:c r="L15" s="15" t="str">
        <x:v>Actualización de dato</x:v>
      </x:c>
    </x:row>
    <x:row r="16" ht="57" customHeight="1">
      <x:c r="A16" s="15" t="str">
        <x:v>P2-A1-T3</x:v>
      </x:c>
      <x:c r="B16" s="15" t="str">
        <x:v>P2 / C1-A1</x:v>
      </x:c>
      <x:c r="C16" s="15" t="str">
        <x:v>Confirmar el propósito metodológico de la clasificación CIIU del Anexo 10 del POT y validar los cuatro códigos sin coincidencia antes de decidir su incorporación.</x:v>
      </x:c>
      <x:c r="D16" s="21"/>
      <x:c r="E16" s="23"/>
      <x:c r="F16" s="21" t="str">
        <x:v>Por asignar</x:v>
      </x:c>
      <x:c r="G16" s="24" t="n">
        <x:v>0</x:v>
      </x:c>
      <x:c r="H16" s="21"/>
      <x:c r="I16" s="21"/>
      <x:c r="J16" s="21"/>
      <x:c r="K16" s="15" t="str">
        <x:v>P2 · Sección 5 · ALERTA — Propósito y alcance de esta clasificación</x:v>
      </x:c>
      <x:c r="L16" s="15" t="str">
        <x:v>Investigación / validación</x:v>
      </x:c>
    </x:row>
    <x:row r="17" ht="42" customHeight="1">
      <x:c r="A17" s="15" t="str">
        <x:v>P2-A1-T4</x:v>
      </x:c>
      <x:c r="B17" s="15" t="str">
        <x:v>P2 / C1-A1</x:v>
      </x:c>
      <x:c r="C17" s="15" t="str">
        <x:v>Confirmar o gestionar reportes de inventario GEI posteriores a 2023 elaborados por la Secretaría de Medio Ambiente.</x:v>
      </x:c>
      <x:c r="D17" s="21"/>
      <x:c r="E17" s="23"/>
      <x:c r="F17" s="21" t="str">
        <x:v>Por asignar</x:v>
      </x:c>
      <x:c r="G17" s="24" t="n">
        <x:v>0</x:v>
      </x:c>
      <x:c r="H17" s="21"/>
      <x:c r="I17" s="21"/>
      <x:c r="J17" s="21"/>
      <x:c r="K17" s="15" t="str">
        <x:v>P2 · Sección 10-11 · Otras fuentes institucionales / checklist</x:v>
      </x:c>
      <x:c r="L17" s="15" t="str">
        <x:v>Gestión de información</x:v>
      </x:c>
    </x:row>
    <x:row r="18" ht="57" customHeight="1">
      <x:c r="A18" s="15" t="str">
        <x:v>P2-A1-T5</x:v>
      </x:c>
      <x:c r="B18" s="15" t="str">
        <x:v>P2 / C1-A1</x:v>
      </x:c>
      <x:c r="C18" s="15" t="str">
        <x:v>Confirmar si existe un diagnóstico de barreras de gobernanza de datos (dependencia de EPM, AMVA y otras entidades) que complemente la Evaluación PAC 2026.</x:v>
      </x:c>
      <x:c r="D18" s="21"/>
      <x:c r="E18" s="23"/>
      <x:c r="F18" s="21" t="str">
        <x:v>Por asignar</x:v>
      </x:c>
      <x:c r="G18" s="24" t="n">
        <x:v>0</x:v>
      </x:c>
      <x:c r="H18" s="21"/>
      <x:c r="I18" s="21"/>
      <x:c r="J18" s="21"/>
      <x:c r="K18" s="15" t="str">
        <x:v>P2 · Sección 10 · ALERTA — Otras fuentes institucionales, punto 3</x:v>
      </x:c>
      <x:c r="L18" s="15" t="str">
        <x:v>Gestión de información</x:v>
      </x:c>
    </x:row>
    <x:row r="19" ht="42" customHeight="1">
      <x:c r="A19" s="15" t="str">
        <x:v>P2-A2-T1</x:v>
      </x:c>
      <x:c r="B19" s="15" t="str">
        <x:v>P2 / C1-A2</x:v>
      </x:c>
      <x:c r="C19" s="15" t="str">
        <x:v>Decidir si las trayectorias 2030/2040/2050 deben reconstruirse sobre los escenarios climáticos IDEAM 2024.</x:v>
      </x:c>
      <x:c r="D19" s="21"/>
      <x:c r="E19" s="23"/>
      <x:c r="F19" s="21" t="str">
        <x:v>Por asignar</x:v>
      </x:c>
      <x:c r="G19" s="24" t="n">
        <x:v>0</x:v>
      </x:c>
      <x:c r="H19" s="21"/>
      <x:c r="I19" s="21"/>
      <x:c r="J19" s="21"/>
      <x:c r="K19" s="15" t="str">
        <x:v>P2 · Sección 6 · ALERTA — Actualizar los escenarios climáticos base</x:v>
      </x:c>
      <x:c r="L19" s="15" t="str">
        <x:v>Validación / decisión</x:v>
      </x:c>
    </x:row>
    <x:row r="20" ht="42" customHeight="1">
      <x:c r="A20" s="15" t="str">
        <x:v>P2-A2-T2</x:v>
      </x:c>
      <x:c r="B20" s="15" t="str">
        <x:v>P2 / C1-A2</x:v>
      </x:c>
      <x:c r="C20" s="15" t="str">
        <x:v>Definir si se replantean las metas intermedias de 2030 frente al resultado de 2023 o si se mantienen y se refuerzan las medidas.</x:v>
      </x:c>
      <x:c r="D20" s="21"/>
      <x:c r="E20" s="23"/>
      <x:c r="F20" s="21" t="str">
        <x:v>Por asignar</x:v>
      </x:c>
      <x:c r="G20" s="24" t="n">
        <x:v>0</x:v>
      </x:c>
      <x:c r="H20" s="21"/>
      <x:c r="I20" s="21"/>
      <x:c r="J20" s="21"/>
      <x:c r="K20" s="15" t="str">
        <x:v>P2 · Sección 7 · ALERTA — Meta de corto plazo no alcanzada</x:v>
      </x:c>
      <x:c r="L20" s="15" t="str">
        <x:v>Validación / decisión</x:v>
      </x:c>
    </x:row>
    <x:row r="21" ht="57" customHeight="1">
      <x:c r="A21" s="15" t="str">
        <x:v>P2-A2-T3</x:v>
      </x:c>
      <x:c r="B21" s="15" t="str">
        <x:v>P2 / C1-A2</x:v>
      </x:c>
      <x:c r="C21" s="15" t="str">
        <x:v>Construir la actualización completa de las trayectorias 2030/2040/2050 con soporte técnico de C40, partiendo de la serie real 2015-2023 e incorporando los insumos climáticos actualizados que se acuerden.</x:v>
      </x:c>
      <x:c r="D21" s="21"/>
      <x:c r="E21" s="23"/>
      <x:c r="F21" s="21" t="str">
        <x:v>Por asignar</x:v>
      </x:c>
      <x:c r="G21" s="24" t="n">
        <x:v>0</x:v>
      </x:c>
      <x:c r="H21" s="21"/>
      <x:c r="I21" s="21"/>
      <x:c r="J21" s="21"/>
      <x:c r="K21" s="15" t="str">
        <x:v>P2 · Sección 8 y checklist · ALERTA — Trayectorias actualizadas con soporte C40</x:v>
      </x:c>
      <x:c r="L21" s="15" t="str">
        <x:v>Investigación / construcción</x:v>
      </x:c>
    </x:row>
    <x:row r="22" ht="42" customHeight="1">
      <x:c r="A22" s="15" t="str">
        <x:v>P2-A2-T4</x:v>
      </x:c>
      <x:c r="B22" s="15" t="str">
        <x:v>P2 / C1-A2</x:v>
      </x:c>
      <x:c r="C22" s="15" t="str">
        <x:v>Traducir las proyecciones EPM de demanda de energía y gas a un supuesto de crecimiento del sector de energía estacionaria para el escenario planeado.</x:v>
      </x:c>
      <x:c r="D22" s="21"/>
      <x:c r="E22" s="23"/>
      <x:c r="F22" s="21" t="str">
        <x:v>Por asignar</x:v>
      </x:c>
      <x:c r="G22" s="24" t="n">
        <x:v>0</x:v>
      </x:c>
      <x:c r="H22" s="21"/>
      <x:c r="I22" s="21"/>
      <x:c r="J22" s="21"/>
      <x:c r="K22" s="15" t="str">
        <x:v>P2 · Sección 9 · PARA ACTUALIZAR — Uso de proyecciones EPM en trayectorias</x:v>
      </x:c>
      <x:c r="L22" s="15" t="str">
        <x:v>Análisis / construcción</x:v>
      </x:c>
    </x:row>
    <x:row r="23" ht="42" customHeight="1">
      <x:c r="A23" s="15" t="str">
        <x:v>P2-A2-T5</x:v>
      </x:c>
      <x:c r="B23" s="15" t="str">
        <x:v>P2 / C1-A2</x:v>
      </x:c>
      <x:c r="C23" s="15" t="str">
        <x:v>Gestionar ante C40 Cities los resultados preliminares o insumos técnicos del soporte en curso para Medellín.</x:v>
      </x:c>
      <x:c r="D23" s="21"/>
      <x:c r="E23" s="23"/>
      <x:c r="F23" s="21" t="str">
        <x:v>Por asignar</x:v>
      </x:c>
      <x:c r="G23" s="24" t="n">
        <x:v>0</x:v>
      </x:c>
      <x:c r="H23" s="21"/>
      <x:c r="I23" s="21"/>
      <x:c r="J23" s="21"/>
      <x:c r="K23" s="15" t="str">
        <x:v>P2 · Sección 10-11 · Otras fuentes institucionales / checklist</x:v>
      </x:c>
      <x:c r="L23" s="15" t="str">
        <x:v>Gestión de información</x:v>
      </x:c>
    </x:row>
    <x:row r="24" ht="57" customHeight="1">
      <x:c r="A24" s="15" t="str">
        <x:v>P2-A3-T1</x:v>
      </x:c>
      <x:c r="B24" s="15" t="str">
        <x:v>P2 / C1-A3</x:v>
      </x:c>
      <x:c r="C24" s="15" t="str">
        <x:v>Definir cómo se integrará en el P2 la Evaluación de Riesgos Climáticos actualizada, precisando qué insumos provienen del P1 y cómo se incorporan al diagnóstico y la prospectiva.</x:v>
      </x:c>
      <x:c r="D24" s="21"/>
      <x:c r="E24" s="23"/>
      <x:c r="F24" s="21" t="str">
        <x:v>Por asignar</x:v>
      </x:c>
      <x:c r="G24" s="24" t="n">
        <x:v>0</x:v>
      </x:c>
      <x:c r="H24" s="21"/>
      <x:c r="I24" s="21"/>
      <x:c r="J24" s="21"/>
      <x:c r="K24" s="15" t="str">
        <x:v>Requisito contractual de P2 + dependencia señalada en Sección 6 del documento de trabajo</x:v>
      </x:c>
      <x:c r="L24" s="15" t="str">
        <x:v>Coordinación / integración</x:v>
      </x:c>
    </x:row>
  </x:sheetData>
  <x:dataValidations count="3">
    <x:dataValidation type="list" sqref="B6:B1005">
      <x:formula1>'Actividades'!$A$6:$A$104</x:formula1>
    </x:dataValidation>
    <x:dataValidation type="list" sqref="F6:F1005">
      <x:formula1>"Por asignar,Pendiente,En curso,Completada,Cancelada"</x:formula1>
    </x:dataValidation>
    <x:dataValidation type="decimal" operator="between" sqref="G6:G1005">
      <x:formula1>0</x:formula1>
      <x:formula2>1</x:formula2>
    </x:dataValidation>
  </x:dataValidations>
  <x:pageMargins left="0.7" right="0.7" top="0.75" bottom="0.75" header="0.3" footer="0.3"/>
  <x:tableParts count="1">
    <x:tablePart xmlns:r="http://schemas.openxmlformats.org/officeDocument/2006/relationships" r:id="R18ff6c7059d541d7"/>
  </x:tableParts>
</x:worksheet>
</file>

<file path=xl/worksheets/sheet4.xml><?xml version="1.0" encoding="utf-8"?>
<x:worksheet xmlns:x="http://schemas.openxmlformats.org/spreadsheetml/2006/main">
  <x:sheetPr>
    <x:tabColor rgb="FF243D57"/>
  </x:sheetPr>
  <x:sheetViews>
    <x:sheetView showGridLines="0" workbookViewId="0">
      <x:pane ySplit="5" topLeftCell="A6" activePane="bottomLeft" state="frozen"/>
    </x:sheetView>
  </x:sheetViews>
  <x:sheetFormatPr defaultRowHeight="15"/>
  <x:cols>
    <x:col min="1" max="1" width="31" hidden="0" customWidth="1"/>
    <x:col min="2" max="2" width="125" hidden="0" customWidth="1"/>
  </x:cols>
  <x:sheetData>
    <x:row r="1">
      <x:c r="A1" s="4"/>
      <x:c r="B1" s="4"/>
    </x:row>
    <x:row r="2">
      <x:c r="A2" s="7" t="str">
        <x:v>Uso y cambios para la plataforma</x:v>
      </x:c>
      <x:c r="B2" s="4"/>
    </x:row>
    <x:row r="3">
      <x:c r="A3" s="8" t="str">
        <x:v>Estructura combinada de los dos archivos.</x:v>
      </x:c>
      <x:c r="B3" s="4"/>
    </x:row>
    <x:row r="4">
      <x:c r="A4" s="4"/>
      <x:c r="B4" s="4"/>
    </x:row>
    <x:row r="5" ht="32" customHeight="1">
      <x:c r="A5" s="11" t="str">
        <x:v>Tema</x:v>
      </x:c>
      <x:c r="B5" s="11" t="str">
        <x:v>Regla de uso</x:v>
      </x:c>
    </x:row>
    <x:row r="6" ht="42" customHeight="1">
      <x:c r="A6" s="15" t="str">
        <x:v>Qué contiene</x:v>
      </x:c>
      <x:c r="B6" s="15" t="str">
        <x:v>34 códigos contractuales, 63 relaciones actividad–entregable y 36 etapas de revisión. Se conservan los 18 entregables de los archivos.</x:v>
      </x:c>
    </x:row>
    <x:row r="7" ht="42" customHeight="1">
      <x:c r="A7" s="15" t="str">
        <x:v>Actividades</x:v>
      </x:c>
      <x:c r="B7" s="15" t="str">
        <x:v>Una fila por entregable y actividad. El texto contractual se conserva exactamente como aparece en PAC_seguimiento_una_hoja.xlsx. No se ha cotejado con el contrato firmado.</x:v>
      </x:c>
    </x:row>
    <x:row r="8" ht="70" customHeight="1">
      <x:c r="A8" s="15" t="str">
        <x:v>Responsables</x:v>
      </x:c>
      <x:c r="B8" s="15" t="str">
        <x:v>Todas las personas del original permanecen en sus componentes. Asignaciones contiene una fila por persona y actividad, con rol y peso. Los nombres colectivos sin identidad concreta permanecen como referencias, no como personas inventadas.</x:v>
      </x:c>
    </x:row>
    <x:row r="9" ht="42" customHeight="1">
      <x:c r="A9" s="15" t="str">
        <x:v>Curaduría Museo</x:v>
      </x:c>
      <x:c r="B9" s="15" t="str">
        <x:v>Agregada como corresponsable, sin retirar personas, en C4-A4 (apropiación social) y C6-A1, C6-A3 y C6-A4 (participación, divulgación y publicación), en todos sus entregables relacionados.</x:v>
      </x:c>
    </x:row>
    <x:row r="10" ht="70" customHeight="1">
      <x:c r="A10" s="15" t="str">
        <x:v>Pesos</x:v>
      </x:c>
      <x:c r="B10" s="15" t="str">
        <x:v>Por entregable: 75% elaboración y apoyo técnico, 10% coordinación de Paola, 5% revisión/cierre Guillermo, 5% revisión/cierre María José y 5% validación final Secretaría. Elaboración y coordinación conservan juntas el 85% original. Reparto propuesto, editable.</x:v>
      </x:c>
    </x:row>
    <x:row r="11" ht="70" customHeight="1">
      <x:c r="A11" s="15" t="str">
        <x:v>Avance</x:v>
      </x:c>
      <x:c r="B11" s="15" t="str">
        <x:v>Registrar el avance individual de 0% a 100% en Asignaciones. El avance de la actividad es la suma de cada avance individual por su peso. Se propaga al entregable y al componente. Los registros vacíos mantienen el resultado pendiente de reporte.</x:v>
      </x:c>
    </x:row>
    <x:row r="12" ht="42" customHeight="1">
      <x:c r="A12" s="15" t="str">
        <x:v>Tareas</x:v>
      </x:c>
      <x:c r="B12" s="15" t="str">
        <x:v>Se conservan los 19 pendientes documentales del segundo Excel. No se inventan actas, responsables, fechas ni evidencias. Agregar aquí los compromisos de reuniones y seleccionar su actividad relacionada.</x:v>
      </x:c>
    </x:row>
    <x:row r="13" ht="70" customHeight="1">
      <x:c r="A13" s="15" t="str">
        <x:v>Sin doble conteo</x:v>
      </x:c>
      <x:c r="B13" s="15" t="str">
        <x:v>El porcentaje de la tarea no se suma automáticamente. Tras registrar su evidencia, la persona actualiza su avance acumulado en la asignación relacionada. En la web, los reportes desde tarea o actividad deben actualizar ese mismo avance individual.</x:v>
      </x:c>
    </x:row>
    <x:row r="14" ht="42" customHeight="1">
      <x:c r="A14" s="15" t="str">
        <x:v>Actividades repetidas</x:v>
      </x:c>
      <x:c r="B14" s="15" t="str">
        <x:v>La misma actividad contractual puede aparecer en varios entregables. Cada ID único tiene su propio alcance y avance. No copiar automáticamente su porcentaje a otro entregable.</x:v>
      </x:c>
    </x:row>
    <x:row r="15" ht="42" customHeight="1">
      <x:c r="A15" s="15" t="str">
        <x:v>Evidencias</x:v>
      </x:c>
      <x:c r="B15" s="15" t="str">
        <x:v>Los criterios son referencias del original, no pruebas de trabajo realizado. En Evidencia / enlace se registra la ubicación real del resultado.</x:v>
      </x:c>
    </x:row>
    <x:row r="16" ht="42" customHeight="1">
      <x:c r="A16" s="15" t="str">
        <x:v>Fechas y avances anteriores</x:v>
      </x:c>
      <x:c r="B16" s="15" t="str">
        <x:v>No se trasladan fechas operativas del original a las nuevas actividades contractuales ni se importan avances de la web. Conservar y revisar esos históricos antes de sustituir registros en la plataforma.</x:v>
      </x:c>
    </x:row>
    <x:row r="17" ht="70" customHeight="1">
      <x:c r="A17" s="15" t="str">
        <x:v>Trabajo de revisión</x:v>
      </x:c>
      <x:c r="B17" s="15" t="str">
        <x:v>Guillermo y María José revisan, consolidan observaciones y dan cierre a los documentos para envío a Secretaría. Sus pesos son 5% cada uno. Secretaría participa después, con el 5% de validación final.</x:v>
      </x:c>
    </x:row>
    <x:row r="18" ht="70" customHeight="1">
      <x:c r="A18" s="15" t="str">
        <x:v>Cambio en la página</x:v>
      </x:c>
      <x:c r="B18" s="15" t="str">
        <x:v>La web debe desagregar responsables, guardar peso y avance por persona y actividad, calcular el avance ponderado, y conservar evidencia e historial. Paola tiene rol de coordinación técnica. Los pesos de cada actividad deben sumar 100%.</x:v>
      </x:c>
    </x:row>
    <x:row r="19" ht="70" customHeight="1">
      <x:c r="A19" s="15" t="str">
        <x:v>Ampliar tareas</x:v>
      </x:c>
      <x:c r="B19" s="15" t="str">
        <x:v>Para añadir tareas se conserva la capacidad hasta fila 1005. Para añadir personas o actividades, ampliar tablas y rangos de fórmulas y redistribuir pesos. Los pesos individuales de cada actividad deben sumar 100%.</x:v>
      </x:c>
    </x:row>
    <x:row r="20" ht="35" customHeight="1">
      <x:c r="A20" s="15" t="str">
        <x:v>Fuente contractual y tareas</x:v>
      </x:c>
      <x:c r="B20" s="15" t="str">
        <x:v>PAC_seguimiento_una_hoja.xlsx, hoja Seguimiento, filas 2–78.</x:v>
      </x:c>
    </x:row>
    <x:row r="21" ht="42" customHeight="1">
      <x:c r="A21" s="15" t="str">
        <x:v>Fuente responsables y revisión</x:v>
      </x:c>
      <x:c r="B21" s="15" t="str">
        <x:v>Propuesta_asignacion_actividades_PAC.xlsx, hoja Asignación detallada, filas 5–147. La correspondencia de nombres y evidencias fue elaborada para este archivo.</x:v>
      </x:c>
    </x:row>
    <x:row r="22" ht="35" customHeight="1">
      <x:c r="A22" s="15" t="str">
        <x:v>Colores</x:v>
      </x:c>
      <x:c r="B22" s="15" t="str">
        <x:v>Amarillo claro: campos para diligenciar o validar. Las celdas de cálculo permanecen sin ese relleno.</x:v>
      </x:c>
    </x:row>
    <x:row r="23" ht="70" customHeight="1">
      <x:c r="A23" s="28" t="str">
        <x:v>Reparto técnico</x:v>
      </x:c>
      <x:c r="B23" s="28" t="str">
        <x:v>Dentro del 75% técnico se usan dos partes por responsable principal y una por apoyo, según la correspondencia temática. Curaduría Museo cuenta como corresponsable. Es un criterio propuesto, no un peso extraído del original.</x:v>
      </x:c>
    </x:row>
    <x:row r="24" ht="70" customHeight="1">
      <x:c r="A24" s="28" t="str">
        <x:v>Peso de Paola</x:v>
      </x:c>
      <x:c r="B24" s="28" t="str">
        <x:v>Paola recibe 10/85 del peso interno de cada actividad contractual, lo que suma 10% del entregable. Su trabajo es coordinar, integrar, dar seguimiento y verificar consistencia técnica.</x:v>
      </x:c>
    </x:row>
    <x:row r="25" ht="70" customHeight="1">
      <x:c r="A25" s="28" t="str">
        <x:v>Precisión</x:v>
      </x:c>
      <x:c r="B25" s="28" t="str">
        <x:v>Los pesos se muestran con dos decimales, pero los cálculos conservan toda la precisión. La suma de valores visibles puede diferir por redondeo.</x:v>
      </x:c>
    </x:row>
  </x:sheetData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Pr>
    <x:tabColor rgb="FF243D57"/>
  </x:sheetPr>
  <x:sheetViews>
    <x:sheetView showGridLines="0" workbookViewId="0">
      <x:pane ySplit="5" topLeftCell="A6" activePane="bottomLeft" state="frozen"/>
    </x:sheetView>
  </x:sheetViews>
  <x:sheetFormatPr defaultRowHeight="15"/>
  <x:cols>
    <x:col min="1" max="1" width="23" hidden="0" customWidth="1"/>
    <x:col min="2" max="2" width="13" hidden="0" customWidth="1"/>
    <x:col min="3" max="3" width="13" hidden="0" customWidth="1"/>
    <x:col min="4" max="4" width="16" hidden="0" customWidth="1"/>
    <x:col min="5" max="5" width="37" hidden="0" customWidth="1"/>
    <x:col min="6" max="6" width="54" hidden="0" customWidth="1"/>
    <x:col min="7" max="7" width="18" hidden="0" customWidth="1"/>
    <x:col min="8" max="8" width="20" hidden="0" customWidth="1"/>
    <x:col min="9" max="9" width="20" hidden="0" customWidth="1"/>
    <x:col min="10" max="10" width="18" hidden="0" customWidth="1"/>
    <x:col min="11" max="11" width="19" hidden="0" customWidth="1"/>
    <x:col min="12" max="12" width="19" hidden="0" customWidth="1"/>
    <x:col min="13" max="13" width="20" hidden="0" customWidth="1"/>
    <x:col min="14" max="14" width="40" hidden="0" customWidth="1"/>
    <x:col min="15" max="15" width="55" hidden="0" customWidth="1"/>
    <x:col min="16" max="16" width="18" hidden="0" customWidth="1"/>
  </x:cols>
  <x:sheetData>
    <x:row r="1">
      <x:c r="A1" s="4"/>
      <x:c r="B1" s="4"/>
      <x:c r="C1" s="4"/>
      <x:c r="D1" s="4"/>
      <x:c r="E1" s="4"/>
      <x:c r="F1" s="4"/>
      <x:c r="G1" s="4"/>
      <x:c r="H1" s="4"/>
      <x:c r="I1" s="4"/>
      <x:c r="J1" s="4"/>
      <x:c r="K1" s="4"/>
      <x:c r="L1" s="4"/>
      <x:c r="M1" s="4"/>
      <x:c r="N1" s="4"/>
      <x:c r="O1" s="4"/>
      <x:c r="P1" s="4"/>
    </x:row>
    <x:row r="2">
      <x:c r="A2" s="7" t="str">
        <x:v>Personas y pesos de trabajo</x:v>
      </x:c>
      <x:c r="B2" s="4"/>
      <x:c r="C2" s="4"/>
      <x:c r="D2" s="4"/>
      <x:c r="E2" s="4"/>
      <x:c r="F2" s="4"/>
      <x:c r="G2" s="4"/>
      <x:c r="H2" s="4"/>
      <x:c r="I2" s="4"/>
      <x:c r="J2" s="4"/>
      <x:c r="K2" s="4"/>
      <x:c r="L2" s="4"/>
      <x:c r="M2" s="4"/>
      <x:c r="N2" s="4"/>
      <x:c r="O2" s="4"/>
      <x:c r="P2" s="4"/>
    </x:row>
    <x:row r="3">
      <x:c r="A3" s="4" t="str">
        <x:v>Propuesta: 75% equipo técnico + 10% Paola + 5% Guillermo + 5% María José + 5% Secretaría por entregable.</x:v>
      </x:c>
      <x:c r="B3" s="4"/>
      <x:c r="C3" s="4"/>
      <x:c r="D3" s="4"/>
      <x:c r="E3" s="4"/>
      <x:c r="F3" s="4"/>
      <x:c r="G3" s="4"/>
      <x:c r="H3" s="4"/>
      <x:c r="I3" s="4"/>
      <x:c r="J3" s="4"/>
      <x:c r="K3" s="4"/>
      <x:c r="L3" s="4"/>
      <x:c r="M3" s="4"/>
      <x:c r="N3" s="4"/>
      <x:c r="O3" s="4"/>
      <x:c r="P3" s="4"/>
    </x:row>
    <x:row r="4">
      <x:c r="A4" s="4"/>
      <x:c r="B4" s="4"/>
      <x:c r="C4" s="4"/>
      <x:c r="D4" s="4"/>
      <x:c r="E4" s="4"/>
      <x:c r="F4" s="4"/>
      <x:c r="G4" s="4"/>
      <x:c r="H4" s="4"/>
      <x:c r="I4" s="4"/>
      <x:c r="J4" s="4"/>
      <x:c r="K4" s="4"/>
      <x:c r="L4" s="4"/>
      <x:c r="M4" s="4"/>
      <x:c r="N4" s="4"/>
      <x:c r="O4" s="4"/>
      <x:c r="P4" s="4"/>
    </x:row>
    <x:row r="5" ht="45" customHeight="1">
      <x:c r="A5" s="32" t="str">
        <x:v>Actividad relacionada</x:v>
      </x:c>
      <x:c r="B5" s="32" t="str">
        <x:v>Componente</x:v>
      </x:c>
      <x:c r="C5" s="32" t="str">
        <x:v>Entregable</x:v>
      </x:c>
      <x:c r="D5" s="32" t="str">
        <x:v>Código actividad</x:v>
      </x:c>
      <x:c r="E5" s="32" t="str">
        <x:v>Persona / equipo</x:v>
      </x:c>
      <x:c r="F5" s="32" t="str">
        <x:v>Rol</x:v>
      </x:c>
      <x:c r="G5" s="32" t="str">
        <x:v>Peso en actividad</x:v>
      </x:c>
      <x:c r="H5" s="32" t="str">
        <x:v>Peso actividad en entregable</x:v>
      </x:c>
      <x:c r="I5" s="32" t="str">
        <x:v>Peso persona en entregable</x:v>
      </x:c>
      <x:c r="J5" s="32" t="str">
        <x:v>Avance individual</x:v>
      </x:c>
      <x:c r="K5" s="32" t="str">
        <x:v>Aporte a actividad</x:v>
      </x:c>
      <x:c r="L5" s="32" t="str">
        <x:v>Aporte a entregable</x:v>
      </x:c>
      <x:c r="M5" s="32" t="str">
        <x:v>Fecha de reporte</x:v>
      </x:c>
      <x:c r="N5" s="32" t="str">
        <x:v>Evidencia / enlace</x:v>
      </x:c>
      <x:c r="O5" s="32" t="str">
        <x:v>Resultado reportado</x:v>
      </x:c>
      <x:c r="P5" s="32" t="str">
        <x:v>Sin reporte (1 = sí)</x:v>
      </x:c>
    </x:row>
    <x:row r="6" ht="54" customHeight="1">
      <x:c r="A6" s="30" t="str">
        <x:v>P1 / C1-A4</x:v>
      </x:c>
      <x:c r="B6" s="30" t="str">
        <x:v>C1</x:v>
      </x:c>
      <x:c r="C6" s="30" t="str">
        <x:v>P1</x:v>
      </x:c>
      <x:c r="D6" s="30" t="str">
        <x:v>C1-A4</x:v>
      </x:c>
      <x:c r="E6" s="30" t="str">
        <x:v>Marcos Arango Tamayo</x:v>
      </x:c>
      <x:c r="F6" s="30" t="str">
        <x:v>Elaboración técnica</x:v>
      </x:c>
      <x:c r="G6" s="35" t="n">
        <x:v>0.35294117647058826</x:v>
      </x:c>
      <x:c r="H6" s="33" t="n">
        <x:f>INDEX(Actividades!$I$6:$I$104,MATCH(A6,Actividades!$A$6:$A$104,0))</x:f>
        <x:v>0.4675</x:v>
      </x:c>
      <x:c r="I6" s="33" t="n">
        <x:f>G6*H6</x:f>
        <x:v>0.165</x:v>
      </x:c>
      <x:c r="J6" s="35"/>
      <x:c r="K6" s="33" t="str">
        <x:f>IF(ISNUMBER(J6),G6*J6,"")</x:f>
      </x:c>
      <x:c r="L6" s="33" t="str">
        <x:f>IF(ISNUMBER(J6),I6*J6,"")</x:f>
      </x:c>
      <x:c r="M6" s="36"/>
      <x:c r="N6" s="37"/>
      <x:c r="O6" s="37"/>
      <x:c r="P6" s="30" t="n">
        <x:f>IF(ISNUMBER(J6),0,1)</x:f>
        <x:v>1</x:v>
      </x:c>
    </x:row>
    <x:row r="7" ht="54" customHeight="1">
      <x:c r="A7" s="30" t="str">
        <x:v>P1 / C1-A4</x:v>
      </x:c>
      <x:c r="B7" s="30" t="str">
        <x:v>C1</x:v>
      </x:c>
      <x:c r="C7" s="30" t="str">
        <x:v>P1</x:v>
      </x:c>
      <x:c r="D7" s="30" t="str">
        <x:v>C1-A4</x:v>
      </x:c>
      <x:c r="E7" s="30" t="str">
        <x:v>Sebastián Cartagena</x:v>
      </x:c>
      <x:c r="F7" s="30" t="str">
        <x:v>Elaboración técnica</x:v>
      </x:c>
      <x:c r="G7" s="35" t="n">
        <x:v>0.35294117647058826</x:v>
      </x:c>
      <x:c r="H7" s="33" t="n">
        <x:f>INDEX(Actividades!$I$6:$I$104,MATCH(A7,Actividades!$A$6:$A$104,0))</x:f>
        <x:v>0.4675</x:v>
      </x:c>
      <x:c r="I7" s="33" t="n">
        <x:f>G7*H7</x:f>
        <x:v>0.165</x:v>
      </x:c>
      <x:c r="J7" s="35"/>
      <x:c r="K7" s="33" t="str">
        <x:f>IF(ISNUMBER(J7),G7*J7,"")</x:f>
      </x:c>
      <x:c r="L7" s="33" t="str">
        <x:f>IF(ISNUMBER(J7),I7*J7,"")</x:f>
      </x:c>
      <x:c r="M7" s="36"/>
      <x:c r="N7" s="37"/>
      <x:c r="O7" s="37"/>
      <x:c r="P7" s="30" t="n">
        <x:f>IF(ISNUMBER(J7),0,1)</x:f>
        <x:v>1</x:v>
      </x:c>
    </x:row>
    <x:row r="8" ht="54" customHeight="1">
      <x:c r="A8" s="30" t="str">
        <x:v>P1 / C1-A4</x:v>
      </x:c>
      <x:c r="B8" s="30" t="str">
        <x:v>C1</x:v>
      </x:c>
      <x:c r="C8" s="30" t="str">
        <x:v>P1</x:v>
      </x:c>
      <x:c r="D8" s="30" t="str">
        <x:v>C1-A4</x:v>
      </x:c>
      <x:c r="E8" s="30" t="str">
        <x:v>Juliana Valencia</x:v>
      </x:c>
      <x:c r="F8" s="30" t="str">
        <x:v>Apoyo técnico</x:v>
      </x:c>
      <x:c r="G8" s="35" t="n">
        <x:v>0.17647058823529413</x:v>
      </x:c>
      <x:c r="H8" s="33" t="n">
        <x:f>INDEX(Actividades!$I$6:$I$104,MATCH(A8,Actividades!$A$6:$A$104,0))</x:f>
        <x:v>0.4675</x:v>
      </x:c>
      <x:c r="I8" s="33" t="n">
        <x:f>G8*H8</x:f>
        <x:v>0.0825</x:v>
      </x:c>
      <x:c r="J8" s="35"/>
      <x:c r="K8" s="33" t="str">
        <x:f>IF(ISNUMBER(J8),G8*J8,"")</x:f>
      </x:c>
      <x:c r="L8" s="33" t="str">
        <x:f>IF(ISNUMBER(J8),I8*J8,"")</x:f>
      </x:c>
      <x:c r="M8" s="36"/>
      <x:c r="N8" s="37"/>
      <x:c r="O8" s="37"/>
      <x:c r="P8" s="30" t="n">
        <x:f>IF(ISNUMBER(J8),0,1)</x:f>
        <x:v>1</x:v>
      </x:c>
    </x:row>
    <x:row r="9" ht="54" customHeight="1">
      <x:c r="A9" s="30" t="str">
        <x:v>P1 / C1-A4</x:v>
      </x:c>
      <x:c r="B9" s="30" t="str">
        <x:v>C1</x:v>
      </x:c>
      <x:c r="C9" s="30" t="str">
        <x:v>P1</x:v>
      </x:c>
      <x:c r="D9" s="30" t="str">
        <x:v>C1-A4</x:v>
      </x:c>
      <x:c r="E9" s="30" t="str">
        <x:v>Paola Andrea Ruiz Franco</x:v>
      </x:c>
      <x:c r="F9" s="30" t="str">
        <x:v>Coordinación técnica, integración y seguimiento</x:v>
      </x:c>
      <x:c r="G9" s="35" t="n">
        <x:v>0.11764705882352941</x:v>
      </x:c>
      <x:c r="H9" s="33" t="n">
        <x:f>INDEX(Actividades!$I$6:$I$104,MATCH(A9,Actividades!$A$6:$A$104,0))</x:f>
        <x:v>0.4675</x:v>
      </x:c>
      <x:c r="I9" s="33" t="n">
        <x:f>G9*H9</x:f>
        <x:v>0.055</x:v>
      </x:c>
      <x:c r="J9" s="35"/>
      <x:c r="K9" s="33" t="str">
        <x:f>IF(ISNUMBER(J9),G9*J9,"")</x:f>
      </x:c>
      <x:c r="L9" s="33" t="str">
        <x:f>IF(ISNUMBER(J9),I9*J9,"")</x:f>
      </x:c>
      <x:c r="M9" s="36"/>
      <x:c r="N9" s="37"/>
      <x:c r="O9" s="37"/>
      <x:c r="P9" s="30" t="n">
        <x:f>IF(ISNUMBER(J9),0,1)</x:f>
        <x:v>1</x:v>
      </x:c>
    </x:row>
    <x:row r="10" ht="54" customHeight="1">
      <x:c r="A10" s="30" t="str">
        <x:v>P1 / C1-A5</x:v>
      </x:c>
      <x:c r="B10" s="30" t="str">
        <x:v>C1</x:v>
      </x:c>
      <x:c r="C10" s="30" t="str">
        <x:v>P1</x:v>
      </x:c>
      <x:c r="D10" s="30" t="str">
        <x:v>C1-A5</x:v>
      </x:c>
      <x:c r="E10" s="30" t="str">
        <x:v>Juliana Valencia</x:v>
      </x:c>
      <x:c r="F10" s="30" t="str">
        <x:v>Elaboración técnica</x:v>
      </x:c>
      <x:c r="G10" s="35" t="n">
        <x:v>0.196078431372549</x:v>
      </x:c>
      <x:c r="H10" s="33" t="n">
        <x:f>INDEX(Actividades!$I$6:$I$104,MATCH(A10,Actividades!$A$6:$A$104,0))</x:f>
        <x:v>0.3825</x:v>
      </x:c>
      <x:c r="I10" s="33" t="n">
        <x:f>G10*H10</x:f>
        <x:v>0.07499999999999998</x:v>
      </x:c>
      <x:c r="J10" s="35"/>
      <x:c r="K10" s="33" t="str">
        <x:f>IF(ISNUMBER(J10),G10*J10,"")</x:f>
      </x:c>
      <x:c r="L10" s="33" t="str">
        <x:f>IF(ISNUMBER(J10),I10*J10,"")</x:f>
      </x:c>
      <x:c r="M10" s="36"/>
      <x:c r="N10" s="37"/>
      <x:c r="O10" s="37"/>
      <x:c r="P10" s="30" t="n">
        <x:f>IF(ISNUMBER(J10),0,1)</x:f>
        <x:v>1</x:v>
      </x:c>
    </x:row>
    <x:row r="11" ht="54" customHeight="1">
      <x:c r="A11" s="30" t="str">
        <x:v>P1 / C1-A5</x:v>
      </x:c>
      <x:c r="B11" s="30" t="str">
        <x:v>C1</x:v>
      </x:c>
      <x:c r="C11" s="30" t="str">
        <x:v>P1</x:v>
      </x:c>
      <x:c r="D11" s="30" t="str">
        <x:v>C1-A5</x:v>
      </x:c>
      <x:c r="E11" s="30" t="str">
        <x:v>Jeiner de Jesús Castellanos Barliza</x:v>
      </x:c>
      <x:c r="F11" s="30" t="str">
        <x:v>Elaboración técnica</x:v>
      </x:c>
      <x:c r="G11" s="35" t="n">
        <x:v>0.196078431372549</x:v>
      </x:c>
      <x:c r="H11" s="33" t="n">
        <x:f>INDEX(Actividades!$I$6:$I$104,MATCH(A11,Actividades!$A$6:$A$104,0))</x:f>
        <x:v>0.3825</x:v>
      </x:c>
      <x:c r="I11" s="33" t="n">
        <x:f>G11*H11</x:f>
        <x:v>0.07499999999999998</x:v>
      </x:c>
      <x:c r="J11" s="35"/>
      <x:c r="K11" s="33" t="str">
        <x:f>IF(ISNUMBER(J11),G11*J11,"")</x:f>
      </x:c>
      <x:c r="L11" s="33" t="str">
        <x:f>IF(ISNUMBER(J11),I11*J11,"")</x:f>
      </x:c>
      <x:c r="M11" s="36"/>
      <x:c r="N11" s="37"/>
      <x:c r="O11" s="37"/>
      <x:c r="P11" s="30" t="n">
        <x:f>IF(ISNUMBER(J11),0,1)</x:f>
        <x:v>1</x:v>
      </x:c>
    </x:row>
    <x:row r="12" ht="54" customHeight="1">
      <x:c r="A12" s="30" t="str">
        <x:v>P1 / C1-A5</x:v>
      </x:c>
      <x:c r="B12" s="30" t="str">
        <x:v>C1</x:v>
      </x:c>
      <x:c r="C12" s="30" t="str">
        <x:v>P1</x:v>
      </x:c>
      <x:c r="D12" s="30" t="str">
        <x:v>C1-A5</x:v>
      </x:c>
      <x:c r="E12" s="30" t="str">
        <x:v>Marcos Arango Tamayo</x:v>
      </x:c>
      <x:c r="F12" s="30" t="str">
        <x:v>Elaboración técnica</x:v>
      </x:c>
      <x:c r="G12" s="35" t="n">
        <x:v>0.196078431372549</x:v>
      </x:c>
      <x:c r="H12" s="33" t="n">
        <x:f>INDEX(Actividades!$I$6:$I$104,MATCH(A12,Actividades!$A$6:$A$104,0))</x:f>
        <x:v>0.3825</x:v>
      </x:c>
      <x:c r="I12" s="33" t="n">
        <x:f>G12*H12</x:f>
        <x:v>0.07499999999999998</x:v>
      </x:c>
      <x:c r="J12" s="35"/>
      <x:c r="K12" s="33" t="str">
        <x:f>IF(ISNUMBER(J12),G12*J12,"")</x:f>
      </x:c>
      <x:c r="L12" s="33" t="str">
        <x:f>IF(ISNUMBER(J12),I12*J12,"")</x:f>
      </x:c>
      <x:c r="M12" s="36"/>
      <x:c r="N12" s="37"/>
      <x:c r="O12" s="37"/>
      <x:c r="P12" s="30" t="n">
        <x:f>IF(ISNUMBER(J12),0,1)</x:f>
        <x:v>1</x:v>
      </x:c>
    </x:row>
    <x:row r="13" ht="54" customHeight="1">
      <x:c r="A13" s="30" t="str">
        <x:v>P1 / C1-A5</x:v>
      </x:c>
      <x:c r="B13" s="30" t="str">
        <x:v>C1</x:v>
      </x:c>
      <x:c r="C13" s="30" t="str">
        <x:v>P1</x:v>
      </x:c>
      <x:c r="D13" s="30" t="str">
        <x:v>C1-A5</x:v>
      </x:c>
      <x:c r="E13" s="30" t="str">
        <x:v>Vanessa García Leoz</x:v>
      </x:c>
      <x:c r="F13" s="30" t="str">
        <x:v>Elaboración técnica</x:v>
      </x:c>
      <x:c r="G13" s="35" t="n">
        <x:v>0.196078431372549</x:v>
      </x:c>
      <x:c r="H13" s="33" t="n">
        <x:f>INDEX(Actividades!$I$6:$I$104,MATCH(A13,Actividades!$A$6:$A$104,0))</x:f>
        <x:v>0.3825</x:v>
      </x:c>
      <x:c r="I13" s="33" t="n">
        <x:f>G13*H13</x:f>
        <x:v>0.07499999999999998</x:v>
      </x:c>
      <x:c r="J13" s="35"/>
      <x:c r="K13" s="33" t="str">
        <x:f>IF(ISNUMBER(J13),G13*J13,"")</x:f>
      </x:c>
      <x:c r="L13" s="33" t="str">
        <x:f>IF(ISNUMBER(J13),I13*J13,"")</x:f>
      </x:c>
      <x:c r="M13" s="36"/>
      <x:c r="N13" s="37"/>
      <x:c r="O13" s="37"/>
      <x:c r="P13" s="30" t="n">
        <x:f>IF(ISNUMBER(J13),0,1)</x:f>
        <x:v>1</x:v>
      </x:c>
    </x:row>
    <x:row r="14" ht="54" customHeight="1">
      <x:c r="A14" s="30" t="str">
        <x:v>P1 / C1-A5</x:v>
      </x:c>
      <x:c r="B14" s="30" t="str">
        <x:v>C1</x:v>
      </x:c>
      <x:c r="C14" s="30" t="str">
        <x:v>P1</x:v>
      </x:c>
      <x:c r="D14" s="30" t="str">
        <x:v>C1-A5</x:v>
      </x:c>
      <x:c r="E14" s="30" t="str">
        <x:v>Harlem Acevedo Agudelo</x:v>
      </x:c>
      <x:c r="F14" s="30" t="str">
        <x:v>Apoyo técnico</x:v>
      </x:c>
      <x:c r="G14" s="35" t="n">
        <x:v>0.0980392156862745</x:v>
      </x:c>
      <x:c r="H14" s="33" t="n">
        <x:f>INDEX(Actividades!$I$6:$I$104,MATCH(A14,Actividades!$A$6:$A$104,0))</x:f>
        <x:v>0.3825</x:v>
      </x:c>
      <x:c r="I14" s="33" t="n">
        <x:f>G14*H14</x:f>
        <x:v>0.03749999999999999</x:v>
      </x:c>
      <x:c r="J14" s="35"/>
      <x:c r="K14" s="33" t="str">
        <x:f>IF(ISNUMBER(J14),G14*J14,"")</x:f>
      </x:c>
      <x:c r="L14" s="33" t="str">
        <x:f>IF(ISNUMBER(J14),I14*J14,"")</x:f>
      </x:c>
      <x:c r="M14" s="36"/>
      <x:c r="N14" s="37"/>
      <x:c r="O14" s="37"/>
      <x:c r="P14" s="30" t="n">
        <x:f>IF(ISNUMBER(J14),0,1)</x:f>
        <x:v>1</x:v>
      </x:c>
    </x:row>
    <x:row r="15" ht="54" customHeight="1">
      <x:c r="A15" s="30" t="str">
        <x:v>P1 / C1-A5</x:v>
      </x:c>
      <x:c r="B15" s="30" t="str">
        <x:v>C1</x:v>
      </x:c>
      <x:c r="C15" s="30" t="str">
        <x:v>P1</x:v>
      </x:c>
      <x:c r="D15" s="30" t="str">
        <x:v>C1-A5</x:v>
      </x:c>
      <x:c r="E15" s="30" t="str">
        <x:v>Paola Andrea Ruiz Franco</x:v>
      </x:c>
      <x:c r="F15" s="30" t="str">
        <x:v>Coordinación técnica, integración y seguimiento</x:v>
      </x:c>
      <x:c r="G15" s="35" t="n">
        <x:v>0.11764705882352941</x:v>
      </x:c>
      <x:c r="H15" s="33" t="n">
        <x:f>INDEX(Actividades!$I$6:$I$104,MATCH(A15,Actividades!$A$6:$A$104,0))</x:f>
        <x:v>0.3825</x:v>
      </x:c>
      <x:c r="I15" s="33" t="n">
        <x:f>G15*H15</x:f>
        <x:v>0.045</x:v>
      </x:c>
      <x:c r="J15" s="35"/>
      <x:c r="K15" s="33" t="str">
        <x:f>IF(ISNUMBER(J15),G15*J15,"")</x:f>
      </x:c>
      <x:c r="L15" s="33" t="str">
        <x:f>IF(ISNUMBER(J15),I15*J15,"")</x:f>
      </x:c>
      <x:c r="M15" s="36"/>
      <x:c r="N15" s="37"/>
      <x:c r="O15" s="37"/>
      <x:c r="P15" s="30" t="n">
        <x:f>IF(ISNUMBER(J15),0,1)</x:f>
        <x:v>1</x:v>
      </x:c>
    </x:row>
    <x:row r="16" ht="54" customHeight="1">
      <x:c r="A16" s="30" t="str">
        <x:v>P1 / R01</x:v>
      </x:c>
      <x:c r="B16" s="30" t="str">
        <x:v>C1</x:v>
      </x:c>
      <x:c r="C16" s="30" t="str">
        <x:v>P1</x:v>
      </x:c>
      <x:c r="D16" s="30" t="str">
        <x:v>R01</x:v>
      </x:c>
      <x:c r="E16" s="30" t="str">
        <x:v>Guillermo Penagos</x:v>
      </x:c>
      <x:c r="F16" s="30" t="str">
        <x:v>Revisión técnica y cierre para envío a Secretaría</x:v>
      </x:c>
      <x:c r="G16" s="35" t="n">
        <x:v>0.5</x:v>
      </x:c>
      <x:c r="H16" s="33" t="n">
        <x:f>INDEX(Actividades!$I$6:$I$104,MATCH(A16,Actividades!$A$6:$A$104,0))</x:f>
        <x:v>0.1</x:v>
      </x:c>
      <x:c r="I16" s="33" t="n">
        <x:f>G16*H16</x:f>
        <x:v>0.05</x:v>
      </x:c>
      <x:c r="J16" s="35"/>
      <x:c r="K16" s="33" t="str">
        <x:f>IF(ISNUMBER(J16),G16*J16,"")</x:f>
      </x:c>
      <x:c r="L16" s="33" t="str">
        <x:f>IF(ISNUMBER(J16),I16*J16,"")</x:f>
      </x:c>
      <x:c r="M16" s="36"/>
      <x:c r="N16" s="37"/>
      <x:c r="O16" s="37"/>
      <x:c r="P16" s="30" t="n">
        <x:f>IF(ISNUMBER(J16),0,1)</x:f>
        <x:v>1</x:v>
      </x:c>
    </x:row>
    <x:row r="17" ht="54" customHeight="1">
      <x:c r="A17" s="30" t="str">
        <x:v>P1 / R01</x:v>
      </x:c>
      <x:c r="B17" s="30" t="str">
        <x:v>C1</x:v>
      </x:c>
      <x:c r="C17" s="30" t="str">
        <x:v>P1</x:v>
      </x:c>
      <x:c r="D17" s="30" t="str">
        <x:v>R01</x:v>
      </x:c>
      <x:c r="E17" s="30" t="str">
        <x:v>María José Suárez</x:v>
      </x:c>
      <x:c r="F17" s="30" t="str">
        <x:v>Revisión integral y cierre para envío a Secretaría</x:v>
      </x:c>
      <x:c r="G17" s="35" t="n">
        <x:v>0.5</x:v>
      </x:c>
      <x:c r="H17" s="33" t="n">
        <x:f>INDEX(Actividades!$I$6:$I$104,MATCH(A17,Actividades!$A$6:$A$104,0))</x:f>
        <x:v>0.1</x:v>
      </x:c>
      <x:c r="I17" s="33" t="n">
        <x:f>G17*H17</x:f>
        <x:v>0.05</x:v>
      </x:c>
      <x:c r="J17" s="35"/>
      <x:c r="K17" s="33" t="str">
        <x:f>IF(ISNUMBER(J17),G17*J17,"")</x:f>
      </x:c>
      <x:c r="L17" s="33" t="str">
        <x:f>IF(ISNUMBER(J17),I17*J17,"")</x:f>
      </x:c>
      <x:c r="M17" s="36"/>
      <x:c r="N17" s="37"/>
      <x:c r="O17" s="37"/>
      <x:c r="P17" s="30" t="n">
        <x:f>IF(ISNUMBER(J17),0,1)</x:f>
        <x:v>1</x:v>
      </x:c>
    </x:row>
    <x:row r="18" ht="54" customHeight="1">
      <x:c r="A18" s="30" t="str">
        <x:v>P1 / R02</x:v>
      </x:c>
      <x:c r="B18" s="30" t="str">
        <x:v>C1</x:v>
      </x:c>
      <x:c r="C18" s="30" t="str">
        <x:v>P1</x:v>
      </x:c>
      <x:c r="D18" s="30" t="str">
        <x:v>R02</x:v>
      </x:c>
      <x:c r="E18" s="30" t="str">
        <x:v>Juana — Secretaría de Medio Ambiente</x:v>
      </x:c>
      <x:c r="F18" s="30" t="str">
        <x:v>Validación y revisión final institucional</x:v>
      </x:c>
      <x:c r="G18" s="35" t="n">
        <x:v>1</x:v>
      </x:c>
      <x:c r="H18" s="33" t="n">
        <x:f>INDEX(Actividades!$I$6:$I$104,MATCH(A18,Actividades!$A$6:$A$104,0))</x:f>
        <x:v>0.05</x:v>
      </x:c>
      <x:c r="I18" s="33" t="n">
        <x:f>G18*H18</x:f>
        <x:v>0.05</x:v>
      </x:c>
      <x:c r="J18" s="35"/>
      <x:c r="K18" s="33" t="str">
        <x:f>IF(ISNUMBER(J18),G18*J18,"")</x:f>
      </x:c>
      <x:c r="L18" s="33" t="str">
        <x:f>IF(ISNUMBER(J18),I18*J18,"")</x:f>
      </x:c>
      <x:c r="M18" s="36"/>
      <x:c r="N18" s="37"/>
      <x:c r="O18" s="37"/>
      <x:c r="P18" s="30" t="n">
        <x:f>IF(ISNUMBER(J18),0,1)</x:f>
        <x:v>1</x:v>
      </x:c>
    </x:row>
    <x:row r="19" ht="54" customHeight="1">
      <x:c r="A19" s="30" t="str">
        <x:v>P2 / C1-A1</x:v>
      </x:c>
      <x:c r="B19" s="30" t="str">
        <x:v>C1</x:v>
      </x:c>
      <x:c r="C19" s="30" t="str">
        <x:v>P2</x:v>
      </x:c>
      <x:c r="D19" s="30" t="str">
        <x:v>C1-A1</x:v>
      </x:c>
      <x:c r="E19" s="30" t="str">
        <x:v>Juliana Valencia</x:v>
      </x:c>
      <x:c r="F19" s="30" t="str">
        <x:v>Elaboración técnica</x:v>
      </x:c>
      <x:c r="G19" s="35" t="n">
        <x:v>0.29411764705882354</x:v>
      </x:c>
      <x:c r="H19" s="33" t="n">
        <x:f>INDEX(Actividades!$I$6:$I$104,MATCH(A19,Actividades!$A$6:$A$104,0))</x:f>
        <x:v>0.255</x:v>
      </x:c>
      <x:c r="I19" s="33" t="n">
        <x:f>G19*H19</x:f>
        <x:v>0.075</x:v>
      </x:c>
      <x:c r="J19" s="35"/>
      <x:c r="K19" s="33" t="str">
        <x:f>IF(ISNUMBER(J19),G19*J19,"")</x:f>
      </x:c>
      <x:c r="L19" s="33" t="str">
        <x:f>IF(ISNUMBER(J19),I19*J19,"")</x:f>
      </x:c>
      <x:c r="M19" s="36"/>
      <x:c r="N19" s="37"/>
      <x:c r="O19" s="37"/>
      <x:c r="P19" s="30" t="n">
        <x:f>IF(ISNUMBER(J19),0,1)</x:f>
        <x:v>1</x:v>
      </x:c>
    </x:row>
    <x:row r="20" ht="54" customHeight="1">
      <x:c r="A20" s="30" t="str">
        <x:v>P2 / C1-A1</x:v>
      </x:c>
      <x:c r="B20" s="30" t="str">
        <x:v>C1</x:v>
      </x:c>
      <x:c r="C20" s="30" t="str">
        <x:v>P2</x:v>
      </x:c>
      <x:c r="D20" s="30" t="str">
        <x:v>C1-A1</x:v>
      </x:c>
      <x:c r="E20" s="30" t="str">
        <x:v>Marcos Arango Tamayo</x:v>
      </x:c>
      <x:c r="F20" s="30" t="str">
        <x:v>Elaboración técnica</x:v>
      </x:c>
      <x:c r="G20" s="35" t="n">
        <x:v>0.29411764705882354</x:v>
      </x:c>
      <x:c r="H20" s="33" t="n">
        <x:f>INDEX(Actividades!$I$6:$I$104,MATCH(A20,Actividades!$A$6:$A$104,0))</x:f>
        <x:v>0.255</x:v>
      </x:c>
      <x:c r="I20" s="33" t="n">
        <x:f>G20*H20</x:f>
        <x:v>0.075</x:v>
      </x:c>
      <x:c r="J20" s="35"/>
      <x:c r="K20" s="33" t="str">
        <x:f>IF(ISNUMBER(J20),G20*J20,"")</x:f>
      </x:c>
      <x:c r="L20" s="33" t="str">
        <x:f>IF(ISNUMBER(J20),I20*J20,"")</x:f>
      </x:c>
      <x:c r="M20" s="36"/>
      <x:c r="N20" s="37"/>
      <x:c r="O20" s="37"/>
      <x:c r="P20" s="30" t="n">
        <x:f>IF(ISNUMBER(J20),0,1)</x:f>
        <x:v>1</x:v>
      </x:c>
    </x:row>
    <x:row r="21" ht="54" customHeight="1">
      <x:c r="A21" s="30" t="str">
        <x:v>P2 / C1-A1</x:v>
      </x:c>
      <x:c r="B21" s="30" t="str">
        <x:v>C1</x:v>
      </x:c>
      <x:c r="C21" s="30" t="str">
        <x:v>P2</x:v>
      </x:c>
      <x:c r="D21" s="30" t="str">
        <x:v>C1-A1</x:v>
      </x:c>
      <x:c r="E21" s="30" t="str">
        <x:v>Sebastián Cartagena</x:v>
      </x:c>
      <x:c r="F21" s="30" t="str">
        <x:v>Elaboración técnica</x:v>
      </x:c>
      <x:c r="G21" s="35" t="n">
        <x:v>0.29411764705882354</x:v>
      </x:c>
      <x:c r="H21" s="33" t="n">
        <x:f>INDEX(Actividades!$I$6:$I$104,MATCH(A21,Actividades!$A$6:$A$104,0))</x:f>
        <x:v>0.255</x:v>
      </x:c>
      <x:c r="I21" s="33" t="n">
        <x:f>G21*H21</x:f>
        <x:v>0.075</x:v>
      </x:c>
      <x:c r="J21" s="35"/>
      <x:c r="K21" s="33" t="str">
        <x:f>IF(ISNUMBER(J21),G21*J21,"")</x:f>
      </x:c>
      <x:c r="L21" s="33" t="str">
        <x:f>IF(ISNUMBER(J21),I21*J21,"")</x:f>
      </x:c>
      <x:c r="M21" s="36"/>
      <x:c r="N21" s="37"/>
      <x:c r="O21" s="37"/>
      <x:c r="P21" s="30" t="n">
        <x:f>IF(ISNUMBER(J21),0,1)</x:f>
        <x:v>1</x:v>
      </x:c>
    </x:row>
    <x:row r="22" ht="54" customHeight="1">
      <x:c r="A22" s="30" t="str">
        <x:v>P2 / C1-A1</x:v>
      </x:c>
      <x:c r="B22" s="30" t="str">
        <x:v>C1</x:v>
      </x:c>
      <x:c r="C22" s="30" t="str">
        <x:v>P2</x:v>
      </x:c>
      <x:c r="D22" s="30" t="str">
        <x:v>C1-A1</x:v>
      </x:c>
      <x:c r="E22" s="30" t="str">
        <x:v>Paola Andrea Ruiz Franco</x:v>
      </x:c>
      <x:c r="F22" s="30" t="str">
        <x:v>Coordinación técnica, integración y seguimiento</x:v>
      </x:c>
      <x:c r="G22" s="35" t="n">
        <x:v>0.11764705882352941</x:v>
      </x:c>
      <x:c r="H22" s="33" t="n">
        <x:f>INDEX(Actividades!$I$6:$I$104,MATCH(A22,Actividades!$A$6:$A$104,0))</x:f>
        <x:v>0.255</x:v>
      </x:c>
      <x:c r="I22" s="33" t="n">
        <x:f>G22*H22</x:f>
        <x:v>0.03</x:v>
      </x:c>
      <x:c r="J22" s="35"/>
      <x:c r="K22" s="33" t="str">
        <x:f>IF(ISNUMBER(J22),G22*J22,"")</x:f>
      </x:c>
      <x:c r="L22" s="33" t="str">
        <x:f>IF(ISNUMBER(J22),I22*J22,"")</x:f>
      </x:c>
      <x:c r="M22" s="36"/>
      <x:c r="N22" s="37"/>
      <x:c r="O22" s="37"/>
      <x:c r="P22" s="30" t="n">
        <x:f>IF(ISNUMBER(J22),0,1)</x:f>
        <x:v>1</x:v>
      </x:c>
    </x:row>
    <x:row r="23" ht="54" customHeight="1">
      <x:c r="A23" s="30" t="str">
        <x:v>P2 / C1-A2</x:v>
      </x:c>
      <x:c r="B23" s="30" t="str">
        <x:v>C1</x:v>
      </x:c>
      <x:c r="C23" s="30" t="str">
        <x:v>P2</x:v>
      </x:c>
      <x:c r="D23" s="30" t="str">
        <x:v>C1-A2</x:v>
      </x:c>
      <x:c r="E23" s="30" t="str">
        <x:v>Juliana Valencia</x:v>
      </x:c>
      <x:c r="F23" s="30" t="str">
        <x:v>Elaboración técnica</x:v>
      </x:c>
      <x:c r="G23" s="35" t="n">
        <x:v>0.35294117647058826</x:v>
      </x:c>
      <x:c r="H23" s="33" t="n">
        <x:f>INDEX(Actividades!$I$6:$I$104,MATCH(A23,Actividades!$A$6:$A$104,0))</x:f>
        <x:v>0.34</x:v>
      </x:c>
      <x:c r="I23" s="33" t="n">
        <x:f>G23*H23</x:f>
        <x:v>0.12000000000000002</x:v>
      </x:c>
      <x:c r="J23" s="35"/>
      <x:c r="K23" s="33" t="str">
        <x:f>IF(ISNUMBER(J23),G23*J23,"")</x:f>
      </x:c>
      <x:c r="L23" s="33" t="str">
        <x:f>IF(ISNUMBER(J23),I23*J23,"")</x:f>
      </x:c>
      <x:c r="M23" s="36"/>
      <x:c r="N23" s="37"/>
      <x:c r="O23" s="37"/>
      <x:c r="P23" s="30" t="n">
        <x:f>IF(ISNUMBER(J23),0,1)</x:f>
        <x:v>1</x:v>
      </x:c>
    </x:row>
    <x:row r="24" ht="54" customHeight="1">
      <x:c r="A24" s="30" t="str">
        <x:v>P2 / C1-A2</x:v>
      </x:c>
      <x:c r="B24" s="30" t="str">
        <x:v>C1</x:v>
      </x:c>
      <x:c r="C24" s="30" t="str">
        <x:v>P2</x:v>
      </x:c>
      <x:c r="D24" s="30" t="str">
        <x:v>C1-A2</x:v>
      </x:c>
      <x:c r="E24" s="30" t="str">
        <x:v>Marcos Arango Tamayo</x:v>
      </x:c>
      <x:c r="F24" s="30" t="str">
        <x:v>Elaboración técnica</x:v>
      </x:c>
      <x:c r="G24" s="35" t="n">
        <x:v>0.35294117647058826</x:v>
      </x:c>
      <x:c r="H24" s="33" t="n">
        <x:f>INDEX(Actividades!$I$6:$I$104,MATCH(A24,Actividades!$A$6:$A$104,0))</x:f>
        <x:v>0.34</x:v>
      </x:c>
      <x:c r="I24" s="33" t="n">
        <x:f>G24*H24</x:f>
        <x:v>0.12000000000000002</x:v>
      </x:c>
      <x:c r="J24" s="35"/>
      <x:c r="K24" s="33" t="str">
        <x:f>IF(ISNUMBER(J24),G24*J24,"")</x:f>
      </x:c>
      <x:c r="L24" s="33" t="str">
        <x:f>IF(ISNUMBER(J24),I24*J24,"")</x:f>
      </x:c>
      <x:c r="M24" s="36"/>
      <x:c r="N24" s="37"/>
      <x:c r="O24" s="37"/>
      <x:c r="P24" s="30" t="n">
        <x:f>IF(ISNUMBER(J24),0,1)</x:f>
        <x:v>1</x:v>
      </x:c>
    </x:row>
    <x:row r="25" ht="54" customHeight="1">
      <x:c r="A25" s="30" t="str">
        <x:v>P2 / C1-A2</x:v>
      </x:c>
      <x:c r="B25" s="30" t="str">
        <x:v>C1</x:v>
      </x:c>
      <x:c r="C25" s="30" t="str">
        <x:v>P2</x:v>
      </x:c>
      <x:c r="D25" s="30" t="str">
        <x:v>C1-A2</x:v>
      </x:c>
      <x:c r="E25" s="30" t="str">
        <x:v>Sebastián Cartagena</x:v>
      </x:c>
      <x:c r="F25" s="30" t="str">
        <x:v>Apoyo técnico</x:v>
      </x:c>
      <x:c r="G25" s="35" t="n">
        <x:v>0.17647058823529413</x:v>
      </x:c>
      <x:c r="H25" s="33" t="n">
        <x:f>INDEX(Actividades!$I$6:$I$104,MATCH(A25,Actividades!$A$6:$A$104,0))</x:f>
        <x:v>0.34</x:v>
      </x:c>
      <x:c r="I25" s="33" t="n">
        <x:f>G25*H25</x:f>
        <x:v>0.06000000000000001</x:v>
      </x:c>
      <x:c r="J25" s="35"/>
      <x:c r="K25" s="33" t="str">
        <x:f>IF(ISNUMBER(J25),G25*J25,"")</x:f>
      </x:c>
      <x:c r="L25" s="33" t="str">
        <x:f>IF(ISNUMBER(J25),I25*J25,"")</x:f>
      </x:c>
      <x:c r="M25" s="36"/>
      <x:c r="N25" s="37"/>
      <x:c r="O25" s="37"/>
      <x:c r="P25" s="30" t="n">
        <x:f>IF(ISNUMBER(J25),0,1)</x:f>
        <x:v>1</x:v>
      </x:c>
    </x:row>
    <x:row r="26" ht="54" customHeight="1">
      <x:c r="A26" s="30" t="str">
        <x:v>P2 / C1-A2</x:v>
      </x:c>
      <x:c r="B26" s="30" t="str">
        <x:v>C1</x:v>
      </x:c>
      <x:c r="C26" s="30" t="str">
        <x:v>P2</x:v>
      </x:c>
      <x:c r="D26" s="30" t="str">
        <x:v>C1-A2</x:v>
      </x:c>
      <x:c r="E26" s="30" t="str">
        <x:v>Paola Andrea Ruiz Franco</x:v>
      </x:c>
      <x:c r="F26" s="30" t="str">
        <x:v>Coordinación técnica, integración y seguimiento</x:v>
      </x:c>
      <x:c r="G26" s="35" t="n">
        <x:v>0.11764705882352941</x:v>
      </x:c>
      <x:c r="H26" s="33" t="n">
        <x:f>INDEX(Actividades!$I$6:$I$104,MATCH(A26,Actividades!$A$6:$A$104,0))</x:f>
        <x:v>0.34</x:v>
      </x:c>
      <x:c r="I26" s="33" t="n">
        <x:f>G26*H26</x:f>
        <x:v>0.04</x:v>
      </x:c>
      <x:c r="J26" s="35"/>
      <x:c r="K26" s="33" t="str">
        <x:f>IF(ISNUMBER(J26),G26*J26,"")</x:f>
      </x:c>
      <x:c r="L26" s="33" t="str">
        <x:f>IF(ISNUMBER(J26),I26*J26,"")</x:f>
      </x:c>
      <x:c r="M26" s="36"/>
      <x:c r="N26" s="37"/>
      <x:c r="O26" s="37"/>
      <x:c r="P26" s="30" t="n">
        <x:f>IF(ISNUMBER(J26),0,1)</x:f>
        <x:v>1</x:v>
      </x:c>
    </x:row>
    <x:row r="27" ht="54" customHeight="1">
      <x:c r="A27" s="30" t="str">
        <x:v>P2 / C1-A3</x:v>
      </x:c>
      <x:c r="B27" s="30" t="str">
        <x:v>C1</x:v>
      </x:c>
      <x:c r="C27" s="30" t="str">
        <x:v>P2</x:v>
      </x:c>
      <x:c r="D27" s="30" t="str">
        <x:v>C1-A3</x:v>
      </x:c>
      <x:c r="E27" s="30" t="str">
        <x:v>Vanessa García Leoz</x:v>
      </x:c>
      <x:c r="F27" s="30" t="str">
        <x:v>Elaboración técnica</x:v>
      </x:c>
      <x:c r="G27" s="35" t="n">
        <x:v>0.4411764705882353</x:v>
      </x:c>
      <x:c r="H27" s="33" t="n">
        <x:f>INDEX(Actividades!$I$6:$I$104,MATCH(A27,Actividades!$A$6:$A$104,0))</x:f>
        <x:v>0.255</x:v>
      </x:c>
      <x:c r="I27" s="33" t="n">
        <x:f>G27*H27</x:f>
        <x:v>0.1125</x:v>
      </x:c>
      <x:c r="J27" s="35"/>
      <x:c r="K27" s="33" t="str">
        <x:f>IF(ISNUMBER(J27),G27*J27,"")</x:f>
      </x:c>
      <x:c r="L27" s="33" t="str">
        <x:f>IF(ISNUMBER(J27),I27*J27,"")</x:f>
      </x:c>
      <x:c r="M27" s="36"/>
      <x:c r="N27" s="37"/>
      <x:c r="O27" s="37"/>
      <x:c r="P27" s="30" t="n">
        <x:f>IF(ISNUMBER(J27),0,1)</x:f>
        <x:v>1</x:v>
      </x:c>
    </x:row>
    <x:row r="28" ht="54" customHeight="1">
      <x:c r="A28" s="30" t="str">
        <x:v>P2 / C1-A3</x:v>
      </x:c>
      <x:c r="B28" s="30" t="str">
        <x:v>C1</x:v>
      </x:c>
      <x:c r="C28" s="30" t="str">
        <x:v>P2</x:v>
      </x:c>
      <x:c r="D28" s="30" t="str">
        <x:v>C1-A3</x:v>
      </x:c>
      <x:c r="E28" s="30" t="str">
        <x:v>Jeiner de Jesús Castellanos Barliza</x:v>
      </x:c>
      <x:c r="F28" s="30" t="str">
        <x:v>Apoyo técnico</x:v>
      </x:c>
      <x:c r="G28" s="35" t="n">
        <x:v>0.22058823529411764</x:v>
      </x:c>
      <x:c r="H28" s="33" t="n">
        <x:f>INDEX(Actividades!$I$6:$I$104,MATCH(A28,Actividades!$A$6:$A$104,0))</x:f>
        <x:v>0.255</x:v>
      </x:c>
      <x:c r="I28" s="33" t="n">
        <x:f>G28*H28</x:f>
        <x:v>0.05625</x:v>
      </x:c>
      <x:c r="J28" s="35"/>
      <x:c r="K28" s="33" t="str">
        <x:f>IF(ISNUMBER(J28),G28*J28,"")</x:f>
      </x:c>
      <x:c r="L28" s="33" t="str">
        <x:f>IF(ISNUMBER(J28),I28*J28,"")</x:f>
      </x:c>
      <x:c r="M28" s="36"/>
      <x:c r="N28" s="37"/>
      <x:c r="O28" s="37"/>
      <x:c r="P28" s="30" t="n">
        <x:f>IF(ISNUMBER(J28),0,1)</x:f>
        <x:v>1</x:v>
      </x:c>
    </x:row>
    <x:row r="29" ht="54" customHeight="1">
      <x:c r="A29" s="30" t="str">
        <x:v>P2 / C1-A3</x:v>
      </x:c>
      <x:c r="B29" s="30" t="str">
        <x:v>C1</x:v>
      </x:c>
      <x:c r="C29" s="30" t="str">
        <x:v>P2</x:v>
      </x:c>
      <x:c r="D29" s="30" t="str">
        <x:v>C1-A3</x:v>
      </x:c>
      <x:c r="E29" s="30" t="str">
        <x:v>Harlem Acevedo Agudelo</x:v>
      </x:c>
      <x:c r="F29" s="30" t="str">
        <x:v>Apoyo técnico</x:v>
      </x:c>
      <x:c r="G29" s="35" t="n">
        <x:v>0.22058823529411764</x:v>
      </x:c>
      <x:c r="H29" s="33" t="n">
        <x:f>INDEX(Actividades!$I$6:$I$104,MATCH(A29,Actividades!$A$6:$A$104,0))</x:f>
        <x:v>0.255</x:v>
      </x:c>
      <x:c r="I29" s="33" t="n">
        <x:f>G29*H29</x:f>
        <x:v>0.05625</x:v>
      </x:c>
      <x:c r="J29" s="35"/>
      <x:c r="K29" s="33" t="str">
        <x:f>IF(ISNUMBER(J29),G29*J29,"")</x:f>
      </x:c>
      <x:c r="L29" s="33" t="str">
        <x:f>IF(ISNUMBER(J29),I29*J29,"")</x:f>
      </x:c>
      <x:c r="M29" s="36"/>
      <x:c r="N29" s="37"/>
      <x:c r="O29" s="37"/>
      <x:c r="P29" s="30" t="n">
        <x:f>IF(ISNUMBER(J29),0,1)</x:f>
        <x:v>1</x:v>
      </x:c>
    </x:row>
    <x:row r="30" ht="54" customHeight="1">
      <x:c r="A30" s="30" t="str">
        <x:v>P2 / C1-A3</x:v>
      </x:c>
      <x:c r="B30" s="30" t="str">
        <x:v>C1</x:v>
      </x:c>
      <x:c r="C30" s="30" t="str">
        <x:v>P2</x:v>
      </x:c>
      <x:c r="D30" s="30" t="str">
        <x:v>C1-A3</x:v>
      </x:c>
      <x:c r="E30" s="30" t="str">
        <x:v>Paola Andrea Ruiz Franco</x:v>
      </x:c>
      <x:c r="F30" s="30" t="str">
        <x:v>Coordinación técnica, integración y seguimiento</x:v>
      </x:c>
      <x:c r="G30" s="35" t="n">
        <x:v>0.11764705882352941</x:v>
      </x:c>
      <x:c r="H30" s="33" t="n">
        <x:f>INDEX(Actividades!$I$6:$I$104,MATCH(A30,Actividades!$A$6:$A$104,0))</x:f>
        <x:v>0.255</x:v>
      </x:c>
      <x:c r="I30" s="33" t="n">
        <x:f>G30*H30</x:f>
        <x:v>0.03</x:v>
      </x:c>
      <x:c r="J30" s="35"/>
      <x:c r="K30" s="33" t="str">
        <x:f>IF(ISNUMBER(J30),G30*J30,"")</x:f>
      </x:c>
      <x:c r="L30" s="33" t="str">
        <x:f>IF(ISNUMBER(J30),I30*J30,"")</x:f>
      </x:c>
      <x:c r="M30" s="36"/>
      <x:c r="N30" s="37"/>
      <x:c r="O30" s="37"/>
      <x:c r="P30" s="30" t="n">
        <x:f>IF(ISNUMBER(J30),0,1)</x:f>
        <x:v>1</x:v>
      </x:c>
    </x:row>
    <x:row r="31" ht="54" customHeight="1">
      <x:c r="A31" s="30" t="str">
        <x:v>P2 / R01</x:v>
      </x:c>
      <x:c r="B31" s="30" t="str">
        <x:v>C1</x:v>
      </x:c>
      <x:c r="C31" s="30" t="str">
        <x:v>P2</x:v>
      </x:c>
      <x:c r="D31" s="30" t="str">
        <x:v>R01</x:v>
      </x:c>
      <x:c r="E31" s="30" t="str">
        <x:v>Guillermo Penagos</x:v>
      </x:c>
      <x:c r="F31" s="30" t="str">
        <x:v>Revisión técnica y cierre para envío a Secretaría</x:v>
      </x:c>
      <x:c r="G31" s="35" t="n">
        <x:v>0.5</x:v>
      </x:c>
      <x:c r="H31" s="33" t="n">
        <x:f>INDEX(Actividades!$I$6:$I$104,MATCH(A31,Actividades!$A$6:$A$104,0))</x:f>
        <x:v>0.1</x:v>
      </x:c>
      <x:c r="I31" s="33" t="n">
        <x:f>G31*H31</x:f>
        <x:v>0.05</x:v>
      </x:c>
      <x:c r="J31" s="35"/>
      <x:c r="K31" s="33" t="str">
        <x:f>IF(ISNUMBER(J31),G31*J31,"")</x:f>
      </x:c>
      <x:c r="L31" s="33" t="str">
        <x:f>IF(ISNUMBER(J31),I31*J31,"")</x:f>
      </x:c>
      <x:c r="M31" s="36"/>
      <x:c r="N31" s="37"/>
      <x:c r="O31" s="37"/>
      <x:c r="P31" s="30" t="n">
        <x:f>IF(ISNUMBER(J31),0,1)</x:f>
        <x:v>1</x:v>
      </x:c>
    </x:row>
    <x:row r="32" ht="54" customHeight="1">
      <x:c r="A32" s="30" t="str">
        <x:v>P2 / R01</x:v>
      </x:c>
      <x:c r="B32" s="30" t="str">
        <x:v>C1</x:v>
      </x:c>
      <x:c r="C32" s="30" t="str">
        <x:v>P2</x:v>
      </x:c>
      <x:c r="D32" s="30" t="str">
        <x:v>R01</x:v>
      </x:c>
      <x:c r="E32" s="30" t="str">
        <x:v>María José Suárez</x:v>
      </x:c>
      <x:c r="F32" s="30" t="str">
        <x:v>Revisión integral y cierre para envío a Secretaría</x:v>
      </x:c>
      <x:c r="G32" s="35" t="n">
        <x:v>0.5</x:v>
      </x:c>
      <x:c r="H32" s="33" t="n">
        <x:f>INDEX(Actividades!$I$6:$I$104,MATCH(A32,Actividades!$A$6:$A$104,0))</x:f>
        <x:v>0.1</x:v>
      </x:c>
      <x:c r="I32" s="33" t="n">
        <x:f>G32*H32</x:f>
        <x:v>0.05</x:v>
      </x:c>
      <x:c r="J32" s="35"/>
      <x:c r="K32" s="33" t="str">
        <x:f>IF(ISNUMBER(J32),G32*J32,"")</x:f>
      </x:c>
      <x:c r="L32" s="33" t="str">
        <x:f>IF(ISNUMBER(J32),I32*J32,"")</x:f>
      </x:c>
      <x:c r="M32" s="36"/>
      <x:c r="N32" s="37"/>
      <x:c r="O32" s="37"/>
      <x:c r="P32" s="30" t="n">
        <x:f>IF(ISNUMBER(J32),0,1)</x:f>
        <x:v>1</x:v>
      </x:c>
    </x:row>
    <x:row r="33" ht="54" customHeight="1">
      <x:c r="A33" s="30" t="str">
        <x:v>P2 / R02</x:v>
      </x:c>
      <x:c r="B33" s="30" t="str">
        <x:v>C1</x:v>
      </x:c>
      <x:c r="C33" s="30" t="str">
        <x:v>P2</x:v>
      </x:c>
      <x:c r="D33" s="30" t="str">
        <x:v>R02</x:v>
      </x:c>
      <x:c r="E33" s="30" t="str">
        <x:v>Juana — Secretaría de Medio Ambiente</x:v>
      </x:c>
      <x:c r="F33" s="30" t="str">
        <x:v>Validación y revisión final institucional</x:v>
      </x:c>
      <x:c r="G33" s="35" t="n">
        <x:v>1</x:v>
      </x:c>
      <x:c r="H33" s="33" t="n">
        <x:f>INDEX(Actividades!$I$6:$I$104,MATCH(A33,Actividades!$A$6:$A$104,0))</x:f>
        <x:v>0.05</x:v>
      </x:c>
      <x:c r="I33" s="33" t="n">
        <x:f>G33*H33</x:f>
        <x:v>0.05</x:v>
      </x:c>
      <x:c r="J33" s="35"/>
      <x:c r="K33" s="33" t="str">
        <x:f>IF(ISNUMBER(J33),G33*J33,"")</x:f>
      </x:c>
      <x:c r="L33" s="33" t="str">
        <x:f>IF(ISNUMBER(J33),I33*J33,"")</x:f>
      </x:c>
      <x:c r="M33" s="36"/>
      <x:c r="N33" s="37"/>
      <x:c r="O33" s="37"/>
      <x:c r="P33" s="30" t="n">
        <x:f>IF(ISNUMBER(J33),0,1)</x:f>
        <x:v>1</x:v>
      </x:c>
    </x:row>
    <x:row r="34" ht="54" customHeight="1">
      <x:c r="A34" s="30" t="str">
        <x:v>P3 / C2-A1</x:v>
      </x:c>
      <x:c r="B34" s="30" t="str">
        <x:v>C2</x:v>
      </x:c>
      <x:c r="C34" s="30" t="str">
        <x:v>P3</x:v>
      </x:c>
      <x:c r="D34" s="30" t="str">
        <x:v>C2-A1</x:v>
      </x:c>
      <x:c r="E34" s="30" t="str">
        <x:v>Sebastián Cartagena</x:v>
      </x:c>
      <x:c r="F34" s="30" t="str">
        <x:v>Apoyo técnico</x:v>
      </x:c>
      <x:c r="G34" s="35" t="n">
        <x:v>0.8823529411764706</x:v>
      </x:c>
      <x:c r="H34" s="33" t="n">
        <x:f>INDEX(Actividades!$I$6:$I$104,MATCH(A34,Actividades!$A$6:$A$104,0))</x:f>
        <x:v>0.2125</x:v>
      </x:c>
      <x:c r="I34" s="33" t="n">
        <x:f>G34*H34</x:f>
        <x:v>0.1875</x:v>
      </x:c>
      <x:c r="J34" s="35"/>
      <x:c r="K34" s="33" t="str">
        <x:f>IF(ISNUMBER(J34),G34*J34,"")</x:f>
      </x:c>
      <x:c r="L34" s="33" t="str">
        <x:f>IF(ISNUMBER(J34),I34*J34,"")</x:f>
      </x:c>
      <x:c r="M34" s="36"/>
      <x:c r="N34" s="37"/>
      <x:c r="O34" s="37"/>
      <x:c r="P34" s="30" t="n">
        <x:f>IF(ISNUMBER(J34),0,1)</x:f>
        <x:v>1</x:v>
      </x:c>
    </x:row>
    <x:row r="35" ht="54" customHeight="1">
      <x:c r="A35" s="30" t="str">
        <x:v>P3 / C2-A1</x:v>
      </x:c>
      <x:c r="B35" s="30" t="str">
        <x:v>C2</x:v>
      </x:c>
      <x:c r="C35" s="30" t="str">
        <x:v>P3</x:v>
      </x:c>
      <x:c r="D35" s="30" t="str">
        <x:v>C2-A1</x:v>
      </x:c>
      <x:c r="E35" s="30" t="str">
        <x:v>Paola Andrea Ruiz Franco</x:v>
      </x:c>
      <x:c r="F35" s="30" t="str">
        <x:v>Coordinación técnica, integración y seguimiento</x:v>
      </x:c>
      <x:c r="G35" s="35" t="n">
        <x:v>0.11764705882352941</x:v>
      </x:c>
      <x:c r="H35" s="33" t="n">
        <x:f>INDEX(Actividades!$I$6:$I$104,MATCH(A35,Actividades!$A$6:$A$104,0))</x:f>
        <x:v>0.2125</x:v>
      </x:c>
      <x:c r="I35" s="33" t="n">
        <x:f>G35*H35</x:f>
        <x:v>0.024999999999999998</x:v>
      </x:c>
      <x:c r="J35" s="35"/>
      <x:c r="K35" s="33" t="str">
        <x:f>IF(ISNUMBER(J35),G35*J35,"")</x:f>
      </x:c>
      <x:c r="L35" s="33" t="str">
        <x:f>IF(ISNUMBER(J35),I35*J35,"")</x:f>
      </x:c>
      <x:c r="M35" s="36"/>
      <x:c r="N35" s="37"/>
      <x:c r="O35" s="37"/>
      <x:c r="P35" s="30" t="n">
        <x:f>IF(ISNUMBER(J35),0,1)</x:f>
        <x:v>1</x:v>
      </x:c>
    </x:row>
    <x:row r="36" ht="54" customHeight="1">
      <x:c r="A36" s="30" t="str">
        <x:v>P3 / C2-A2</x:v>
      </x:c>
      <x:c r="B36" s="30" t="str">
        <x:v>C2</x:v>
      </x:c>
      <x:c r="C36" s="30" t="str">
        <x:v>P3</x:v>
      </x:c>
      <x:c r="D36" s="30" t="str">
        <x:v>C2-A2</x:v>
      </x:c>
      <x:c r="E36" s="30" t="str">
        <x:v>Sebastián Cartagena</x:v>
      </x:c>
      <x:c r="F36" s="30" t="str">
        <x:v>Elaboración técnica</x:v>
      </x:c>
      <x:c r="G36" s="35" t="n">
        <x:v>0.8823529411764706</x:v>
      </x:c>
      <x:c r="H36" s="33" t="n">
        <x:f>INDEX(Actividades!$I$6:$I$104,MATCH(A36,Actividades!$A$6:$A$104,0))</x:f>
        <x:v>0.2125</x:v>
      </x:c>
      <x:c r="I36" s="33" t="n">
        <x:f>G36*H36</x:f>
        <x:v>0.1875</x:v>
      </x:c>
      <x:c r="J36" s="35"/>
      <x:c r="K36" s="33" t="str">
        <x:f>IF(ISNUMBER(J36),G36*J36,"")</x:f>
      </x:c>
      <x:c r="L36" s="33" t="str">
        <x:f>IF(ISNUMBER(J36),I36*J36,"")</x:f>
      </x:c>
      <x:c r="M36" s="36"/>
      <x:c r="N36" s="37"/>
      <x:c r="O36" s="37"/>
      <x:c r="P36" s="30" t="n">
        <x:f>IF(ISNUMBER(J36),0,1)</x:f>
        <x:v>1</x:v>
      </x:c>
    </x:row>
    <x:row r="37" ht="54" customHeight="1">
      <x:c r="A37" s="30" t="str">
        <x:v>P3 / C2-A2</x:v>
      </x:c>
      <x:c r="B37" s="30" t="str">
        <x:v>C2</x:v>
      </x:c>
      <x:c r="C37" s="30" t="str">
        <x:v>P3</x:v>
      </x:c>
      <x:c r="D37" s="30" t="str">
        <x:v>C2-A2</x:v>
      </x:c>
      <x:c r="E37" s="30" t="str">
        <x:v>Paola Andrea Ruiz Franco</x:v>
      </x:c>
      <x:c r="F37" s="30" t="str">
        <x:v>Coordinación técnica, integración y seguimiento</x:v>
      </x:c>
      <x:c r="G37" s="35" t="n">
        <x:v>0.11764705882352941</x:v>
      </x:c>
      <x:c r="H37" s="33" t="n">
        <x:f>INDEX(Actividades!$I$6:$I$104,MATCH(A37,Actividades!$A$6:$A$104,0))</x:f>
        <x:v>0.2125</x:v>
      </x:c>
      <x:c r="I37" s="33" t="n">
        <x:f>G37*H37</x:f>
        <x:v>0.024999999999999998</x:v>
      </x:c>
      <x:c r="J37" s="35"/>
      <x:c r="K37" s="33" t="str">
        <x:f>IF(ISNUMBER(J37),G37*J37,"")</x:f>
      </x:c>
      <x:c r="L37" s="33" t="str">
        <x:f>IF(ISNUMBER(J37),I37*J37,"")</x:f>
      </x:c>
      <x:c r="M37" s="36"/>
      <x:c r="N37" s="37"/>
      <x:c r="O37" s="37"/>
      <x:c r="P37" s="30" t="n">
        <x:f>IF(ISNUMBER(J37),0,1)</x:f>
        <x:v>1</x:v>
      </x:c>
    </x:row>
    <x:row r="38" ht="54" customHeight="1">
      <x:c r="A38" s="30" t="str">
        <x:v>P3 / C2-A3</x:v>
      </x:c>
      <x:c r="B38" s="30" t="str">
        <x:v>C2</x:v>
      </x:c>
      <x:c r="C38" s="30" t="str">
        <x:v>P3</x:v>
      </x:c>
      <x:c r="D38" s="30" t="str">
        <x:v>C2-A3</x:v>
      </x:c>
      <x:c r="E38" s="30" t="str">
        <x:v>Sebastián Cartagena</x:v>
      </x:c>
      <x:c r="F38" s="30" t="str">
        <x:v>Elaboración técnica</x:v>
      </x:c>
      <x:c r="G38" s="35" t="n">
        <x:v>0.5882352941176471</x:v>
      </x:c>
      <x:c r="H38" s="33" t="n">
        <x:f>INDEX(Actividades!$I$6:$I$104,MATCH(A38,Actividades!$A$6:$A$104,0))</x:f>
        <x:v>0.17</x:v>
      </x:c>
      <x:c r="I38" s="33" t="n">
        <x:f>G38*H38</x:f>
        <x:v>0.1</x:v>
      </x:c>
      <x:c r="J38" s="35"/>
      <x:c r="K38" s="33" t="str">
        <x:f>IF(ISNUMBER(J38),G38*J38,"")</x:f>
      </x:c>
      <x:c r="L38" s="33" t="str">
        <x:f>IF(ISNUMBER(J38),I38*J38,"")</x:f>
      </x:c>
      <x:c r="M38" s="36"/>
      <x:c r="N38" s="37"/>
      <x:c r="O38" s="37"/>
      <x:c r="P38" s="30" t="n">
        <x:f>IF(ISNUMBER(J38),0,1)</x:f>
        <x:v>1</x:v>
      </x:c>
    </x:row>
    <x:row r="39" ht="54" customHeight="1">
      <x:c r="A39" s="30" t="str">
        <x:v>P3 / C2-A3</x:v>
      </x:c>
      <x:c r="B39" s="30" t="str">
        <x:v>C2</x:v>
      </x:c>
      <x:c r="C39" s="30" t="str">
        <x:v>P3</x:v>
      </x:c>
      <x:c r="D39" s="30" t="str">
        <x:v>C2-A3</x:v>
      </x:c>
      <x:c r="E39" s="30" t="str">
        <x:v>Marcos Arango Tamayo</x:v>
      </x:c>
      <x:c r="F39" s="30" t="str">
        <x:v>Apoyo técnico</x:v>
      </x:c>
      <x:c r="G39" s="35" t="n">
        <x:v>0.29411764705882354</x:v>
      </x:c>
      <x:c r="H39" s="33" t="n">
        <x:f>INDEX(Actividades!$I$6:$I$104,MATCH(A39,Actividades!$A$6:$A$104,0))</x:f>
        <x:v>0.17</x:v>
      </x:c>
      <x:c r="I39" s="33" t="n">
        <x:f>G39*H39</x:f>
        <x:v>0.05</x:v>
      </x:c>
      <x:c r="J39" s="35"/>
      <x:c r="K39" s="33" t="str">
        <x:f>IF(ISNUMBER(J39),G39*J39,"")</x:f>
      </x:c>
      <x:c r="L39" s="33" t="str">
        <x:f>IF(ISNUMBER(J39),I39*J39,"")</x:f>
      </x:c>
      <x:c r="M39" s="36"/>
      <x:c r="N39" s="37"/>
      <x:c r="O39" s="37"/>
      <x:c r="P39" s="30" t="n">
        <x:f>IF(ISNUMBER(J39),0,1)</x:f>
        <x:v>1</x:v>
      </x:c>
    </x:row>
    <x:row r="40" ht="54" customHeight="1">
      <x:c r="A40" s="30" t="str">
        <x:v>P3 / C2-A3</x:v>
      </x:c>
      <x:c r="B40" s="30" t="str">
        <x:v>C2</x:v>
      </x:c>
      <x:c r="C40" s="30" t="str">
        <x:v>P3</x:v>
      </x:c>
      <x:c r="D40" s="30" t="str">
        <x:v>C2-A3</x:v>
      </x:c>
      <x:c r="E40" s="30" t="str">
        <x:v>Paola Andrea Ruiz Franco</x:v>
      </x:c>
      <x:c r="F40" s="30" t="str">
        <x:v>Coordinación técnica, integración y seguimiento</x:v>
      </x:c>
      <x:c r="G40" s="35" t="n">
        <x:v>0.11764705882352941</x:v>
      </x:c>
      <x:c r="H40" s="33" t="n">
        <x:f>INDEX(Actividades!$I$6:$I$104,MATCH(A40,Actividades!$A$6:$A$104,0))</x:f>
        <x:v>0.17</x:v>
      </x:c>
      <x:c r="I40" s="33" t="n">
        <x:f>G40*H40</x:f>
        <x:v>0.02</x:v>
      </x:c>
      <x:c r="J40" s="35"/>
      <x:c r="K40" s="33" t="str">
        <x:f>IF(ISNUMBER(J40),G40*J40,"")</x:f>
      </x:c>
      <x:c r="L40" s="33" t="str">
        <x:f>IF(ISNUMBER(J40),I40*J40,"")</x:f>
      </x:c>
      <x:c r="M40" s="36"/>
      <x:c r="N40" s="37"/>
      <x:c r="O40" s="37"/>
      <x:c r="P40" s="30" t="n">
        <x:f>IF(ISNUMBER(J40),0,1)</x:f>
        <x:v>1</x:v>
      </x:c>
    </x:row>
    <x:row r="41" ht="54" customHeight="1">
      <x:c r="A41" s="30" t="str">
        <x:v>P3 / C2-A4</x:v>
      </x:c>
      <x:c r="B41" s="30" t="str">
        <x:v>C2</x:v>
      </x:c>
      <x:c r="C41" s="30" t="str">
        <x:v>P3</x:v>
      </x:c>
      <x:c r="D41" s="30" t="str">
        <x:v>C2-A4</x:v>
      </x:c>
      <x:c r="E41" s="30" t="str">
        <x:v>Harlem Acevedo Agudelo</x:v>
      </x:c>
      <x:c r="F41" s="30" t="str">
        <x:v>Elaboración técnica</x:v>
      </x:c>
      <x:c r="G41" s="35" t="n">
        <x:v>0.4411764705882353</x:v>
      </x:c>
      <x:c r="H41" s="33" t="n">
        <x:f>INDEX(Actividades!$I$6:$I$104,MATCH(A41,Actividades!$A$6:$A$104,0))</x:f>
        <x:v>0.1275</x:v>
      </x:c>
      <x:c r="I41" s="33" t="n">
        <x:f>G41*H41</x:f>
        <x:v>0.05625</x:v>
      </x:c>
      <x:c r="J41" s="35"/>
      <x:c r="K41" s="33" t="str">
        <x:f>IF(ISNUMBER(J41),G41*J41,"")</x:f>
      </x:c>
      <x:c r="L41" s="33" t="str">
        <x:f>IF(ISNUMBER(J41),I41*J41,"")</x:f>
      </x:c>
      <x:c r="M41" s="36"/>
      <x:c r="N41" s="37"/>
      <x:c r="O41" s="37"/>
      <x:c r="P41" s="30" t="n">
        <x:f>IF(ISNUMBER(J41),0,1)</x:f>
        <x:v>1</x:v>
      </x:c>
    </x:row>
    <x:row r="42" ht="54" customHeight="1">
      <x:c r="A42" s="30" t="str">
        <x:v>P3 / C2-A4</x:v>
      </x:c>
      <x:c r="B42" s="30" t="str">
        <x:v>C2</x:v>
      </x:c>
      <x:c r="C42" s="30" t="str">
        <x:v>P3</x:v>
      </x:c>
      <x:c r="D42" s="30" t="str">
        <x:v>C2-A4</x:v>
      </x:c>
      <x:c r="E42" s="30" t="str">
        <x:v>Jeiner de Jesús Castellanos Barliza</x:v>
      </x:c>
      <x:c r="F42" s="30" t="str">
        <x:v>Apoyo técnico</x:v>
      </x:c>
      <x:c r="G42" s="35" t="n">
        <x:v>0.22058823529411764</x:v>
      </x:c>
      <x:c r="H42" s="33" t="n">
        <x:f>INDEX(Actividades!$I$6:$I$104,MATCH(A42,Actividades!$A$6:$A$104,0))</x:f>
        <x:v>0.1275</x:v>
      </x:c>
      <x:c r="I42" s="33" t="n">
        <x:f>G42*H42</x:f>
        <x:v>0.028125</x:v>
      </x:c>
      <x:c r="J42" s="35"/>
      <x:c r="K42" s="33" t="str">
        <x:f>IF(ISNUMBER(J42),G42*J42,"")</x:f>
      </x:c>
      <x:c r="L42" s="33" t="str">
        <x:f>IF(ISNUMBER(J42),I42*J42,"")</x:f>
      </x:c>
      <x:c r="M42" s="36"/>
      <x:c r="N42" s="37"/>
      <x:c r="O42" s="37"/>
      <x:c r="P42" s="30" t="n">
        <x:f>IF(ISNUMBER(J42),0,1)</x:f>
        <x:v>1</x:v>
      </x:c>
    </x:row>
    <x:row r="43" ht="54" customHeight="1">
      <x:c r="A43" s="30" t="str">
        <x:v>P3 / C2-A4</x:v>
      </x:c>
      <x:c r="B43" s="30" t="str">
        <x:v>C2</x:v>
      </x:c>
      <x:c r="C43" s="30" t="str">
        <x:v>P3</x:v>
      </x:c>
      <x:c r="D43" s="30" t="str">
        <x:v>C2-A4</x:v>
      </x:c>
      <x:c r="E43" s="30" t="str">
        <x:v>Vanessa García Leoz</x:v>
      </x:c>
      <x:c r="F43" s="30" t="str">
        <x:v>Apoyo técnico</x:v>
      </x:c>
      <x:c r="G43" s="35" t="n">
        <x:v>0.22058823529411764</x:v>
      </x:c>
      <x:c r="H43" s="33" t="n">
        <x:f>INDEX(Actividades!$I$6:$I$104,MATCH(A43,Actividades!$A$6:$A$104,0))</x:f>
        <x:v>0.1275</x:v>
      </x:c>
      <x:c r="I43" s="33" t="n">
        <x:f>G43*H43</x:f>
        <x:v>0.028125</x:v>
      </x:c>
      <x:c r="J43" s="35"/>
      <x:c r="K43" s="33" t="str">
        <x:f>IF(ISNUMBER(J43),G43*J43,"")</x:f>
      </x:c>
      <x:c r="L43" s="33" t="str">
        <x:f>IF(ISNUMBER(J43),I43*J43,"")</x:f>
      </x:c>
      <x:c r="M43" s="36"/>
      <x:c r="N43" s="37"/>
      <x:c r="O43" s="37"/>
      <x:c r="P43" s="30" t="n">
        <x:f>IF(ISNUMBER(J43),0,1)</x:f>
        <x:v>1</x:v>
      </x:c>
    </x:row>
    <x:row r="44" ht="54" customHeight="1">
      <x:c r="A44" s="30" t="str">
        <x:v>P3 / C2-A4</x:v>
      </x:c>
      <x:c r="B44" s="30" t="str">
        <x:v>C2</x:v>
      </x:c>
      <x:c r="C44" s="30" t="str">
        <x:v>P3</x:v>
      </x:c>
      <x:c r="D44" s="30" t="str">
        <x:v>C2-A4</x:v>
      </x:c>
      <x:c r="E44" s="30" t="str">
        <x:v>Paola Andrea Ruiz Franco</x:v>
      </x:c>
      <x:c r="F44" s="30" t="str">
        <x:v>Coordinación técnica, integración y seguimiento</x:v>
      </x:c>
      <x:c r="G44" s="35" t="n">
        <x:v>0.11764705882352941</x:v>
      </x:c>
      <x:c r="H44" s="33" t="n">
        <x:f>INDEX(Actividades!$I$6:$I$104,MATCH(A44,Actividades!$A$6:$A$104,0))</x:f>
        <x:v>0.1275</x:v>
      </x:c>
      <x:c r="I44" s="33" t="n">
        <x:f>G44*H44</x:f>
        <x:v>0.015</x:v>
      </x:c>
      <x:c r="J44" s="35"/>
      <x:c r="K44" s="33" t="str">
        <x:f>IF(ISNUMBER(J44),G44*J44,"")</x:f>
      </x:c>
      <x:c r="L44" s="33" t="str">
        <x:f>IF(ISNUMBER(J44),I44*J44,"")</x:f>
      </x:c>
      <x:c r="M44" s="36"/>
      <x:c r="N44" s="37"/>
      <x:c r="O44" s="37"/>
      <x:c r="P44" s="30" t="n">
        <x:f>IF(ISNUMBER(J44),0,1)</x:f>
        <x:v>1</x:v>
      </x:c>
    </x:row>
    <x:row r="45" ht="54" customHeight="1">
      <x:c r="A45" s="30" t="str">
        <x:v>P3 / C2-A5</x:v>
      </x:c>
      <x:c r="B45" s="30" t="str">
        <x:v>C2</x:v>
      </x:c>
      <x:c r="C45" s="30" t="str">
        <x:v>P3</x:v>
      </x:c>
      <x:c r="D45" s="30" t="str">
        <x:v>C2-A5</x:v>
      </x:c>
      <x:c r="E45" s="30" t="str">
        <x:v>Jeiner de Jesús Castellanos Barliza</x:v>
      </x:c>
      <x:c r="F45" s="30" t="str">
        <x:v>Elaboración técnica</x:v>
      </x:c>
      <x:c r="G45" s="35" t="n">
        <x:v>0.35294117647058826</x:v>
      </x:c>
      <x:c r="H45" s="33" t="n">
        <x:f>INDEX(Actividades!$I$6:$I$104,MATCH(A45,Actividades!$A$6:$A$104,0))</x:f>
        <x:v>0.1275</x:v>
      </x:c>
      <x:c r="I45" s="33" t="n">
        <x:f>G45*H45</x:f>
        <x:v>0.045000000000000005</x:v>
      </x:c>
      <x:c r="J45" s="35"/>
      <x:c r="K45" s="33" t="str">
        <x:f>IF(ISNUMBER(J45),G45*J45,"")</x:f>
      </x:c>
      <x:c r="L45" s="33" t="str">
        <x:f>IF(ISNUMBER(J45),I45*J45,"")</x:f>
      </x:c>
      <x:c r="M45" s="36"/>
      <x:c r="N45" s="37"/>
      <x:c r="O45" s="37"/>
      <x:c r="P45" s="30" t="n">
        <x:f>IF(ISNUMBER(J45),0,1)</x:f>
        <x:v>1</x:v>
      </x:c>
    </x:row>
    <x:row r="46" ht="54" customHeight="1">
      <x:c r="A46" s="30" t="str">
        <x:v>P3 / C2-A5</x:v>
      </x:c>
      <x:c r="B46" s="30" t="str">
        <x:v>C2</x:v>
      </x:c>
      <x:c r="C46" s="30" t="str">
        <x:v>P3</x:v>
      </x:c>
      <x:c r="D46" s="30" t="str">
        <x:v>C2-A5</x:v>
      </x:c>
      <x:c r="E46" s="30" t="str">
        <x:v>Harlem Acevedo Agudelo</x:v>
      </x:c>
      <x:c r="F46" s="30" t="str">
        <x:v>Elaboración técnica</x:v>
      </x:c>
      <x:c r="G46" s="35" t="n">
        <x:v>0.35294117647058826</x:v>
      </x:c>
      <x:c r="H46" s="33" t="n">
        <x:f>INDEX(Actividades!$I$6:$I$104,MATCH(A46,Actividades!$A$6:$A$104,0))</x:f>
        <x:v>0.1275</x:v>
      </x:c>
      <x:c r="I46" s="33" t="n">
        <x:f>G46*H46</x:f>
        <x:v>0.045000000000000005</x:v>
      </x:c>
      <x:c r="J46" s="35"/>
      <x:c r="K46" s="33" t="str">
        <x:f>IF(ISNUMBER(J46),G46*J46,"")</x:f>
      </x:c>
      <x:c r="L46" s="33" t="str">
        <x:f>IF(ISNUMBER(J46),I46*J46,"")</x:f>
      </x:c>
      <x:c r="M46" s="36"/>
      <x:c r="N46" s="37"/>
      <x:c r="O46" s="37"/>
      <x:c r="P46" s="30" t="n">
        <x:f>IF(ISNUMBER(J46),0,1)</x:f>
        <x:v>1</x:v>
      </x:c>
    </x:row>
    <x:row r="47" ht="54" customHeight="1">
      <x:c r="A47" s="30" t="str">
        <x:v>P3 / C2-A5</x:v>
      </x:c>
      <x:c r="B47" s="30" t="str">
        <x:v>C2</x:v>
      </x:c>
      <x:c r="C47" s="30" t="str">
        <x:v>P3</x:v>
      </x:c>
      <x:c r="D47" s="30" t="str">
        <x:v>C2-A5</x:v>
      </x:c>
      <x:c r="E47" s="30" t="str">
        <x:v>Vanessa García Leoz</x:v>
      </x:c>
      <x:c r="F47" s="30" t="str">
        <x:v>Apoyo técnico</x:v>
      </x:c>
      <x:c r="G47" s="35" t="n">
        <x:v>0.17647058823529413</x:v>
      </x:c>
      <x:c r="H47" s="33" t="n">
        <x:f>INDEX(Actividades!$I$6:$I$104,MATCH(A47,Actividades!$A$6:$A$104,0))</x:f>
        <x:v>0.1275</x:v>
      </x:c>
      <x:c r="I47" s="33" t="n">
        <x:f>G47*H47</x:f>
        <x:v>0.022500000000000003</x:v>
      </x:c>
      <x:c r="J47" s="35"/>
      <x:c r="K47" s="33" t="str">
        <x:f>IF(ISNUMBER(J47),G47*J47,"")</x:f>
      </x:c>
      <x:c r="L47" s="33" t="str">
        <x:f>IF(ISNUMBER(J47),I47*J47,"")</x:f>
      </x:c>
      <x:c r="M47" s="36"/>
      <x:c r="N47" s="37"/>
      <x:c r="O47" s="37"/>
      <x:c r="P47" s="30" t="n">
        <x:f>IF(ISNUMBER(J47),0,1)</x:f>
        <x:v>1</x:v>
      </x:c>
    </x:row>
    <x:row r="48" ht="54" customHeight="1">
      <x:c r="A48" s="30" t="str">
        <x:v>P3 / C2-A5</x:v>
      </x:c>
      <x:c r="B48" s="30" t="str">
        <x:v>C2</x:v>
      </x:c>
      <x:c r="C48" s="30" t="str">
        <x:v>P3</x:v>
      </x:c>
      <x:c r="D48" s="30" t="str">
        <x:v>C2-A5</x:v>
      </x:c>
      <x:c r="E48" s="30" t="str">
        <x:v>Paola Andrea Ruiz Franco</x:v>
      </x:c>
      <x:c r="F48" s="30" t="str">
        <x:v>Coordinación técnica, integración y seguimiento</x:v>
      </x:c>
      <x:c r="G48" s="35" t="n">
        <x:v>0.11764705882352941</x:v>
      </x:c>
      <x:c r="H48" s="33" t="n">
        <x:f>INDEX(Actividades!$I$6:$I$104,MATCH(A48,Actividades!$A$6:$A$104,0))</x:f>
        <x:v>0.1275</x:v>
      </x:c>
      <x:c r="I48" s="33" t="n">
        <x:f>G48*H48</x:f>
        <x:v>0.015</x:v>
      </x:c>
      <x:c r="J48" s="35"/>
      <x:c r="K48" s="33" t="str">
        <x:f>IF(ISNUMBER(J48),G48*J48,"")</x:f>
      </x:c>
      <x:c r="L48" s="33" t="str">
        <x:f>IF(ISNUMBER(J48),I48*J48,"")</x:f>
      </x:c>
      <x:c r="M48" s="36"/>
      <x:c r="N48" s="37"/>
      <x:c r="O48" s="37"/>
      <x:c r="P48" s="30" t="n">
        <x:f>IF(ISNUMBER(J48),0,1)</x:f>
        <x:v>1</x:v>
      </x:c>
    </x:row>
    <x:row r="49" ht="54" customHeight="1">
      <x:c r="A49" s="30" t="str">
        <x:v>P3 / R01</x:v>
      </x:c>
      <x:c r="B49" s="30" t="str">
        <x:v>C2</x:v>
      </x:c>
      <x:c r="C49" s="30" t="str">
        <x:v>P3</x:v>
      </x:c>
      <x:c r="D49" s="30" t="str">
        <x:v>R01</x:v>
      </x:c>
      <x:c r="E49" s="30" t="str">
        <x:v>Guillermo Penagos</x:v>
      </x:c>
      <x:c r="F49" s="30" t="str">
        <x:v>Revisión técnica y cierre para envío a Secretaría</x:v>
      </x:c>
      <x:c r="G49" s="35" t="n">
        <x:v>0.5</x:v>
      </x:c>
      <x:c r="H49" s="33" t="n">
        <x:f>INDEX(Actividades!$I$6:$I$104,MATCH(A49,Actividades!$A$6:$A$104,0))</x:f>
        <x:v>0.1</x:v>
      </x:c>
      <x:c r="I49" s="33" t="n">
        <x:f>G49*H49</x:f>
        <x:v>0.05</x:v>
      </x:c>
      <x:c r="J49" s="35"/>
      <x:c r="K49" s="33" t="str">
        <x:f>IF(ISNUMBER(J49),G49*J49,"")</x:f>
      </x:c>
      <x:c r="L49" s="33" t="str">
        <x:f>IF(ISNUMBER(J49),I49*J49,"")</x:f>
      </x:c>
      <x:c r="M49" s="36"/>
      <x:c r="N49" s="37"/>
      <x:c r="O49" s="37"/>
      <x:c r="P49" s="30" t="n">
        <x:f>IF(ISNUMBER(J49),0,1)</x:f>
        <x:v>1</x:v>
      </x:c>
    </x:row>
    <x:row r="50" ht="54" customHeight="1">
      <x:c r="A50" s="30" t="str">
        <x:v>P3 / R01</x:v>
      </x:c>
      <x:c r="B50" s="30" t="str">
        <x:v>C2</x:v>
      </x:c>
      <x:c r="C50" s="30" t="str">
        <x:v>P3</x:v>
      </x:c>
      <x:c r="D50" s="30" t="str">
        <x:v>R01</x:v>
      </x:c>
      <x:c r="E50" s="30" t="str">
        <x:v>María José Suárez</x:v>
      </x:c>
      <x:c r="F50" s="30" t="str">
        <x:v>Revisión integral y cierre para envío a Secretaría</x:v>
      </x:c>
      <x:c r="G50" s="35" t="n">
        <x:v>0.5</x:v>
      </x:c>
      <x:c r="H50" s="33" t="n">
        <x:f>INDEX(Actividades!$I$6:$I$104,MATCH(A50,Actividades!$A$6:$A$104,0))</x:f>
        <x:v>0.1</x:v>
      </x:c>
      <x:c r="I50" s="33" t="n">
        <x:f>G50*H50</x:f>
        <x:v>0.05</x:v>
      </x:c>
      <x:c r="J50" s="35"/>
      <x:c r="K50" s="33" t="str">
        <x:f>IF(ISNUMBER(J50),G50*J50,"")</x:f>
      </x:c>
      <x:c r="L50" s="33" t="str">
        <x:f>IF(ISNUMBER(J50),I50*J50,"")</x:f>
      </x:c>
      <x:c r="M50" s="36"/>
      <x:c r="N50" s="37"/>
      <x:c r="O50" s="37"/>
      <x:c r="P50" s="30" t="n">
        <x:f>IF(ISNUMBER(J50),0,1)</x:f>
        <x:v>1</x:v>
      </x:c>
    </x:row>
    <x:row r="51" ht="54" customHeight="1">
      <x:c r="A51" s="30" t="str">
        <x:v>P3 / R02</x:v>
      </x:c>
      <x:c r="B51" s="30" t="str">
        <x:v>C2</x:v>
      </x:c>
      <x:c r="C51" s="30" t="str">
        <x:v>P3</x:v>
      </x:c>
      <x:c r="D51" s="30" t="str">
        <x:v>R02</x:v>
      </x:c>
      <x:c r="E51" s="30" t="str">
        <x:v>Juana — Secretaría de Medio Ambiente</x:v>
      </x:c>
      <x:c r="F51" s="30" t="str">
        <x:v>Validación y revisión final institucional</x:v>
      </x:c>
      <x:c r="G51" s="35" t="n">
        <x:v>1</x:v>
      </x:c>
      <x:c r="H51" s="33" t="n">
        <x:f>INDEX(Actividades!$I$6:$I$104,MATCH(A51,Actividades!$A$6:$A$104,0))</x:f>
        <x:v>0.05</x:v>
      </x:c>
      <x:c r="I51" s="33" t="n">
        <x:f>G51*H51</x:f>
        <x:v>0.05</x:v>
      </x:c>
      <x:c r="J51" s="35"/>
      <x:c r="K51" s="33" t="str">
        <x:f>IF(ISNUMBER(J51),G51*J51,"")</x:f>
      </x:c>
      <x:c r="L51" s="33" t="str">
        <x:f>IF(ISNUMBER(J51),I51*J51,"")</x:f>
      </x:c>
      <x:c r="M51" s="36"/>
      <x:c r="N51" s="37"/>
      <x:c r="O51" s="37"/>
      <x:c r="P51" s="30" t="n">
        <x:f>IF(ISNUMBER(J51),0,1)</x:f>
        <x:v>1</x:v>
      </x:c>
    </x:row>
    <x:row r="52" ht="54" customHeight="1">
      <x:c r="A52" s="30" t="str">
        <x:v>P4 / C2-A1</x:v>
      </x:c>
      <x:c r="B52" s="30" t="str">
        <x:v>C2</x:v>
      </x:c>
      <x:c r="C52" s="30" t="str">
        <x:v>P4</x:v>
      </x:c>
      <x:c r="D52" s="30" t="str">
        <x:v>C2-A1</x:v>
      </x:c>
      <x:c r="E52" s="30" t="str">
        <x:v>Sebastián Cartagena</x:v>
      </x:c>
      <x:c r="F52" s="30" t="str">
        <x:v>Elaboración técnica</x:v>
      </x:c>
      <x:c r="G52" s="35" t="n">
        <x:v>0.5882352941176471</x:v>
      </x:c>
      <x:c r="H52" s="33" t="n">
        <x:f>INDEX(Actividades!$I$6:$I$104,MATCH(A52,Actividades!$A$6:$A$104,0))</x:f>
        <x:v>0.17</x:v>
      </x:c>
      <x:c r="I52" s="33" t="n">
        <x:f>G52*H52</x:f>
        <x:v>0.1</x:v>
      </x:c>
      <x:c r="J52" s="35"/>
      <x:c r="K52" s="33" t="str">
        <x:f>IF(ISNUMBER(J52),G52*J52,"")</x:f>
      </x:c>
      <x:c r="L52" s="33" t="str">
        <x:f>IF(ISNUMBER(J52),I52*J52,"")</x:f>
      </x:c>
      <x:c r="M52" s="36"/>
      <x:c r="N52" s="37"/>
      <x:c r="O52" s="37"/>
      <x:c r="P52" s="30" t="n">
        <x:f>IF(ISNUMBER(J52),0,1)</x:f>
        <x:v>1</x:v>
      </x:c>
    </x:row>
    <x:row r="53" ht="54" customHeight="1">
      <x:c r="A53" s="30" t="str">
        <x:v>P4 / C2-A1</x:v>
      </x:c>
      <x:c r="B53" s="30" t="str">
        <x:v>C2</x:v>
      </x:c>
      <x:c r="C53" s="30" t="str">
        <x:v>P4</x:v>
      </x:c>
      <x:c r="D53" s="30" t="str">
        <x:v>C2-A1</x:v>
      </x:c>
      <x:c r="E53" s="30" t="str">
        <x:v>Diana Carolina Ríos Echeverri</x:v>
      </x:c>
      <x:c r="F53" s="30" t="str">
        <x:v>Apoyo técnico</x:v>
      </x:c>
      <x:c r="G53" s="35" t="n">
        <x:v>0.29411764705882354</x:v>
      </x:c>
      <x:c r="H53" s="33" t="n">
        <x:f>INDEX(Actividades!$I$6:$I$104,MATCH(A53,Actividades!$A$6:$A$104,0))</x:f>
        <x:v>0.17</x:v>
      </x:c>
      <x:c r="I53" s="33" t="n">
        <x:f>G53*H53</x:f>
        <x:v>0.05</x:v>
      </x:c>
      <x:c r="J53" s="35"/>
      <x:c r="K53" s="33" t="str">
        <x:f>IF(ISNUMBER(J53),G53*J53,"")</x:f>
      </x:c>
      <x:c r="L53" s="33" t="str">
        <x:f>IF(ISNUMBER(J53),I53*J53,"")</x:f>
      </x:c>
      <x:c r="M53" s="36"/>
      <x:c r="N53" s="37"/>
      <x:c r="O53" s="37"/>
      <x:c r="P53" s="30" t="n">
        <x:f>IF(ISNUMBER(J53),0,1)</x:f>
        <x:v>1</x:v>
      </x:c>
    </x:row>
    <x:row r="54" ht="54" customHeight="1">
      <x:c r="A54" s="30" t="str">
        <x:v>P4 / C2-A1</x:v>
      </x:c>
      <x:c r="B54" s="30" t="str">
        <x:v>C2</x:v>
      </x:c>
      <x:c r="C54" s="30" t="str">
        <x:v>P4</x:v>
      </x:c>
      <x:c r="D54" s="30" t="str">
        <x:v>C2-A1</x:v>
      </x:c>
      <x:c r="E54" s="30" t="str">
        <x:v>Paola Andrea Ruiz Franco</x:v>
      </x:c>
      <x:c r="F54" s="30" t="str">
        <x:v>Coordinación técnica, integración y seguimiento</x:v>
      </x:c>
      <x:c r="G54" s="35" t="n">
        <x:v>0.11764705882352941</x:v>
      </x:c>
      <x:c r="H54" s="33" t="n">
        <x:f>INDEX(Actividades!$I$6:$I$104,MATCH(A54,Actividades!$A$6:$A$104,0))</x:f>
        <x:v>0.17</x:v>
      </x:c>
      <x:c r="I54" s="33" t="n">
        <x:f>G54*H54</x:f>
        <x:v>0.02</x:v>
      </x:c>
      <x:c r="J54" s="35"/>
      <x:c r="K54" s="33" t="str">
        <x:f>IF(ISNUMBER(J54),G54*J54,"")</x:f>
      </x:c>
      <x:c r="L54" s="33" t="str">
        <x:f>IF(ISNUMBER(J54),I54*J54,"")</x:f>
      </x:c>
      <x:c r="M54" s="36"/>
      <x:c r="N54" s="37"/>
      <x:c r="O54" s="37"/>
      <x:c r="P54" s="30" t="n">
        <x:f>IF(ISNUMBER(J54),0,1)</x:f>
        <x:v>1</x:v>
      </x:c>
    </x:row>
    <x:row r="55" ht="54" customHeight="1">
      <x:c r="A55" s="30" t="str">
        <x:v>P4 / C2-A3</x:v>
      </x:c>
      <x:c r="B55" s="30" t="str">
        <x:v>C2</x:v>
      </x:c>
      <x:c r="C55" s="30" t="str">
        <x:v>P4</x:v>
      </x:c>
      <x:c r="D55" s="30" t="str">
        <x:v>C2-A3</x:v>
      </x:c>
      <x:c r="E55" s="30" t="str">
        <x:v>Diana Carolina Ríos Echeverri</x:v>
      </x:c>
      <x:c r="F55" s="30" t="str">
        <x:v>Elaboración técnica</x:v>
      </x:c>
      <x:c r="G55" s="35" t="n">
        <x:v>0.4411764705882353</x:v>
      </x:c>
      <x:c r="H55" s="33" t="n">
        <x:f>INDEX(Actividades!$I$6:$I$104,MATCH(A55,Actividades!$A$6:$A$104,0))</x:f>
        <x:v>0.2125</x:v>
      </x:c>
      <x:c r="I55" s="33" t="n">
        <x:f>G55*H55</x:f>
        <x:v>0.09375</x:v>
      </x:c>
      <x:c r="J55" s="35"/>
      <x:c r="K55" s="33" t="str">
        <x:f>IF(ISNUMBER(J55),G55*J55,"")</x:f>
      </x:c>
      <x:c r="L55" s="33" t="str">
        <x:f>IF(ISNUMBER(J55),I55*J55,"")</x:f>
      </x:c>
      <x:c r="M55" s="36"/>
      <x:c r="N55" s="37"/>
      <x:c r="O55" s="37"/>
      <x:c r="P55" s="30" t="n">
        <x:f>IF(ISNUMBER(J55),0,1)</x:f>
        <x:v>1</x:v>
      </x:c>
    </x:row>
    <x:row r="56" ht="54" customHeight="1">
      <x:c r="A56" s="30" t="str">
        <x:v>P4 / C2-A3</x:v>
      </x:c>
      <x:c r="B56" s="30" t="str">
        <x:v>C2</x:v>
      </x:c>
      <x:c r="C56" s="30" t="str">
        <x:v>P4</x:v>
      </x:c>
      <x:c r="D56" s="30" t="str">
        <x:v>C2-A3</x:v>
      </x:c>
      <x:c r="E56" s="30" t="str">
        <x:v>Alejandro Silva Cortés</x:v>
      </x:c>
      <x:c r="F56" s="30" t="str">
        <x:v>Apoyo técnico</x:v>
      </x:c>
      <x:c r="G56" s="35" t="n">
        <x:v>0.22058823529411764</x:v>
      </x:c>
      <x:c r="H56" s="33" t="n">
        <x:f>INDEX(Actividades!$I$6:$I$104,MATCH(A56,Actividades!$A$6:$A$104,0))</x:f>
        <x:v>0.2125</x:v>
      </x:c>
      <x:c r="I56" s="33" t="n">
        <x:f>G56*H56</x:f>
        <x:v>0.046875</x:v>
      </x:c>
      <x:c r="J56" s="35"/>
      <x:c r="K56" s="33" t="str">
        <x:f>IF(ISNUMBER(J56),G56*J56,"")</x:f>
      </x:c>
      <x:c r="L56" s="33" t="str">
        <x:f>IF(ISNUMBER(J56),I56*J56,"")</x:f>
      </x:c>
      <x:c r="M56" s="36"/>
      <x:c r="N56" s="37"/>
      <x:c r="O56" s="37"/>
      <x:c r="P56" s="30" t="n">
        <x:f>IF(ISNUMBER(J56),0,1)</x:f>
        <x:v>1</x:v>
      </x:c>
    </x:row>
    <x:row r="57" ht="54" customHeight="1">
      <x:c r="A57" s="30" t="str">
        <x:v>P4 / C2-A3</x:v>
      </x:c>
      <x:c r="B57" s="30" t="str">
        <x:v>C2</x:v>
      </x:c>
      <x:c r="C57" s="30" t="str">
        <x:v>P4</x:v>
      </x:c>
      <x:c r="D57" s="30" t="str">
        <x:v>C2-A3</x:v>
      </x:c>
      <x:c r="E57" s="30" t="str">
        <x:v>Daniel González Montoya</x:v>
      </x:c>
      <x:c r="F57" s="30" t="str">
        <x:v>Apoyo técnico</x:v>
      </x:c>
      <x:c r="G57" s="35" t="n">
        <x:v>0.22058823529411764</x:v>
      </x:c>
      <x:c r="H57" s="33" t="n">
        <x:f>INDEX(Actividades!$I$6:$I$104,MATCH(A57,Actividades!$A$6:$A$104,0))</x:f>
        <x:v>0.2125</x:v>
      </x:c>
      <x:c r="I57" s="33" t="n">
        <x:f>G57*H57</x:f>
        <x:v>0.046875</x:v>
      </x:c>
      <x:c r="J57" s="35"/>
      <x:c r="K57" s="33" t="str">
        <x:f>IF(ISNUMBER(J57),G57*J57,"")</x:f>
      </x:c>
      <x:c r="L57" s="33" t="str">
        <x:f>IF(ISNUMBER(J57),I57*J57,"")</x:f>
      </x:c>
      <x:c r="M57" s="36"/>
      <x:c r="N57" s="37"/>
      <x:c r="O57" s="37"/>
      <x:c r="P57" s="30" t="n">
        <x:f>IF(ISNUMBER(J57),0,1)</x:f>
        <x:v>1</x:v>
      </x:c>
    </x:row>
    <x:row r="58" ht="54" customHeight="1">
      <x:c r="A58" s="30" t="str">
        <x:v>P4 / C2-A3</x:v>
      </x:c>
      <x:c r="B58" s="30" t="str">
        <x:v>C2</x:v>
      </x:c>
      <x:c r="C58" s="30" t="str">
        <x:v>P4</x:v>
      </x:c>
      <x:c r="D58" s="30" t="str">
        <x:v>C2-A3</x:v>
      </x:c>
      <x:c r="E58" s="30" t="str">
        <x:v>Paola Andrea Ruiz Franco</x:v>
      </x:c>
      <x:c r="F58" s="30" t="str">
        <x:v>Coordinación técnica, integración y seguimiento</x:v>
      </x:c>
      <x:c r="G58" s="35" t="n">
        <x:v>0.11764705882352941</x:v>
      </x:c>
      <x:c r="H58" s="33" t="n">
        <x:f>INDEX(Actividades!$I$6:$I$104,MATCH(A58,Actividades!$A$6:$A$104,0))</x:f>
        <x:v>0.2125</x:v>
      </x:c>
      <x:c r="I58" s="33" t="n">
        <x:f>G58*H58</x:f>
        <x:v>0.024999999999999998</x:v>
      </x:c>
      <x:c r="J58" s="35"/>
      <x:c r="K58" s="33" t="str">
        <x:f>IF(ISNUMBER(J58),G58*J58,"")</x:f>
      </x:c>
      <x:c r="L58" s="33" t="str">
        <x:f>IF(ISNUMBER(J58),I58*J58,"")</x:f>
      </x:c>
      <x:c r="M58" s="36"/>
      <x:c r="N58" s="37"/>
      <x:c r="O58" s="37"/>
      <x:c r="P58" s="30" t="n">
        <x:f>IF(ISNUMBER(J58),0,1)</x:f>
        <x:v>1</x:v>
      </x:c>
    </x:row>
    <x:row r="59" ht="54" customHeight="1">
      <x:c r="A59" s="30" t="str">
        <x:v>P4 / C2-A4</x:v>
      </x:c>
      <x:c r="B59" s="30" t="str">
        <x:v>C2</x:v>
      </x:c>
      <x:c r="C59" s="30" t="str">
        <x:v>P4</x:v>
      </x:c>
      <x:c r="D59" s="30" t="str">
        <x:v>C2-A4</x:v>
      </x:c>
      <x:c r="E59" s="30" t="str">
        <x:v>Diana Carolina Ríos Echeverri</x:v>
      </x:c>
      <x:c r="F59" s="30" t="str">
        <x:v>Elaboración técnica</x:v>
      </x:c>
      <x:c r="G59" s="35" t="n">
        <x:v>0.4411764705882353</x:v>
      </x:c>
      <x:c r="H59" s="33" t="n">
        <x:f>INDEX(Actividades!$I$6:$I$104,MATCH(A59,Actividades!$A$6:$A$104,0))</x:f>
        <x:v>0.2975</x:v>
      </x:c>
      <x:c r="I59" s="33" t="n">
        <x:f>G59*H59</x:f>
        <x:v>0.13124999999999998</x:v>
      </x:c>
      <x:c r="J59" s="35"/>
      <x:c r="K59" s="33" t="str">
        <x:f>IF(ISNUMBER(J59),G59*J59,"")</x:f>
      </x:c>
      <x:c r="L59" s="33" t="str">
        <x:f>IF(ISNUMBER(J59),I59*J59,"")</x:f>
      </x:c>
      <x:c r="M59" s="36"/>
      <x:c r="N59" s="37"/>
      <x:c r="O59" s="37"/>
      <x:c r="P59" s="30" t="n">
        <x:f>IF(ISNUMBER(J59),0,1)</x:f>
        <x:v>1</x:v>
      </x:c>
    </x:row>
    <x:row r="60" ht="54" customHeight="1">
      <x:c r="A60" s="30" t="str">
        <x:v>P4 / C2-A4</x:v>
      </x:c>
      <x:c r="B60" s="30" t="str">
        <x:v>C2</x:v>
      </x:c>
      <x:c r="C60" s="30" t="str">
        <x:v>P4</x:v>
      </x:c>
      <x:c r="D60" s="30" t="str">
        <x:v>C2-A4</x:v>
      </x:c>
      <x:c r="E60" s="30" t="str">
        <x:v>Alejandro Silva Cortés</x:v>
      </x:c>
      <x:c r="F60" s="30" t="str">
        <x:v>Apoyo técnico</x:v>
      </x:c>
      <x:c r="G60" s="35" t="n">
        <x:v>0.22058823529411764</x:v>
      </x:c>
      <x:c r="H60" s="33" t="n">
        <x:f>INDEX(Actividades!$I$6:$I$104,MATCH(A60,Actividades!$A$6:$A$104,0))</x:f>
        <x:v>0.2975</x:v>
      </x:c>
      <x:c r="I60" s="33" t="n">
        <x:f>G60*H60</x:f>
        <x:v>0.06562499999999999</x:v>
      </x:c>
      <x:c r="J60" s="35"/>
      <x:c r="K60" s="33" t="str">
        <x:f>IF(ISNUMBER(J60),G60*J60,"")</x:f>
      </x:c>
      <x:c r="L60" s="33" t="str">
        <x:f>IF(ISNUMBER(J60),I60*J60,"")</x:f>
      </x:c>
      <x:c r="M60" s="36"/>
      <x:c r="N60" s="37"/>
      <x:c r="O60" s="37"/>
      <x:c r="P60" s="30" t="n">
        <x:f>IF(ISNUMBER(J60),0,1)</x:f>
        <x:v>1</x:v>
      </x:c>
    </x:row>
    <x:row r="61" ht="54" customHeight="1">
      <x:c r="A61" s="30" t="str">
        <x:v>P4 / C2-A4</x:v>
      </x:c>
      <x:c r="B61" s="30" t="str">
        <x:v>C2</x:v>
      </x:c>
      <x:c r="C61" s="30" t="str">
        <x:v>P4</x:v>
      </x:c>
      <x:c r="D61" s="30" t="str">
        <x:v>C2-A4</x:v>
      </x:c>
      <x:c r="E61" s="30" t="str">
        <x:v>Daniel González Montoya</x:v>
      </x:c>
      <x:c r="F61" s="30" t="str">
        <x:v>Apoyo técnico</x:v>
      </x:c>
      <x:c r="G61" s="35" t="n">
        <x:v>0.22058823529411764</x:v>
      </x:c>
      <x:c r="H61" s="33" t="n">
        <x:f>INDEX(Actividades!$I$6:$I$104,MATCH(A61,Actividades!$A$6:$A$104,0))</x:f>
        <x:v>0.2975</x:v>
      </x:c>
      <x:c r="I61" s="33" t="n">
        <x:f>G61*H61</x:f>
        <x:v>0.06562499999999999</x:v>
      </x:c>
      <x:c r="J61" s="35"/>
      <x:c r="K61" s="33" t="str">
        <x:f>IF(ISNUMBER(J61),G61*J61,"")</x:f>
      </x:c>
      <x:c r="L61" s="33" t="str">
        <x:f>IF(ISNUMBER(J61),I61*J61,"")</x:f>
      </x:c>
      <x:c r="M61" s="36"/>
      <x:c r="N61" s="37"/>
      <x:c r="O61" s="37"/>
      <x:c r="P61" s="30" t="n">
        <x:f>IF(ISNUMBER(J61),0,1)</x:f>
        <x:v>1</x:v>
      </x:c>
    </x:row>
    <x:row r="62" ht="54" customHeight="1">
      <x:c r="A62" s="30" t="str">
        <x:v>P4 / C2-A4</x:v>
      </x:c>
      <x:c r="B62" s="30" t="str">
        <x:v>C2</x:v>
      </x:c>
      <x:c r="C62" s="30" t="str">
        <x:v>P4</x:v>
      </x:c>
      <x:c r="D62" s="30" t="str">
        <x:v>C2-A4</x:v>
      </x:c>
      <x:c r="E62" s="30" t="str">
        <x:v>Paola Andrea Ruiz Franco</x:v>
      </x:c>
      <x:c r="F62" s="30" t="str">
        <x:v>Coordinación técnica, integración y seguimiento</x:v>
      </x:c>
      <x:c r="G62" s="35" t="n">
        <x:v>0.11764705882352941</x:v>
      </x:c>
      <x:c r="H62" s="33" t="n">
        <x:f>INDEX(Actividades!$I$6:$I$104,MATCH(A62,Actividades!$A$6:$A$104,0))</x:f>
        <x:v>0.2975</x:v>
      </x:c>
      <x:c r="I62" s="33" t="n">
        <x:f>G62*H62</x:f>
        <x:v>0.034999999999999996</x:v>
      </x:c>
      <x:c r="J62" s="35"/>
      <x:c r="K62" s="33" t="str">
        <x:f>IF(ISNUMBER(J62),G62*J62,"")</x:f>
      </x:c>
      <x:c r="L62" s="33" t="str">
        <x:f>IF(ISNUMBER(J62),I62*J62,"")</x:f>
      </x:c>
      <x:c r="M62" s="36"/>
      <x:c r="N62" s="37"/>
      <x:c r="O62" s="37"/>
      <x:c r="P62" s="30" t="n">
        <x:f>IF(ISNUMBER(J62),0,1)</x:f>
        <x:v>1</x:v>
      </x:c>
    </x:row>
    <x:row r="63" ht="54" customHeight="1">
      <x:c r="A63" s="30" t="str">
        <x:v>P4 / C2-A5</x:v>
      </x:c>
      <x:c r="B63" s="30" t="str">
        <x:v>C2</x:v>
      </x:c>
      <x:c r="C63" s="30" t="str">
        <x:v>P4</x:v>
      </x:c>
      <x:c r="D63" s="30" t="str">
        <x:v>C2-A5</x:v>
      </x:c>
      <x:c r="E63" s="30" t="str">
        <x:v>Juliana Valencia</x:v>
      </x:c>
      <x:c r="F63" s="30" t="str">
        <x:v>Elaboración técnica</x:v>
      </x:c>
      <x:c r="G63" s="35" t="n">
        <x:v>0.35294117647058826</x:v>
      </x:c>
      <x:c r="H63" s="33" t="n">
        <x:f>INDEX(Actividades!$I$6:$I$104,MATCH(A63,Actividades!$A$6:$A$104,0))</x:f>
        <x:v>0.17</x:v>
      </x:c>
      <x:c r="I63" s="33" t="n">
        <x:f>G63*H63</x:f>
        <x:v>0.06000000000000001</x:v>
      </x:c>
      <x:c r="J63" s="35"/>
      <x:c r="K63" s="33" t="str">
        <x:f>IF(ISNUMBER(J63),G63*J63,"")</x:f>
      </x:c>
      <x:c r="L63" s="33" t="str">
        <x:f>IF(ISNUMBER(J63),I63*J63,"")</x:f>
      </x:c>
      <x:c r="M63" s="36"/>
      <x:c r="N63" s="37"/>
      <x:c r="O63" s="37"/>
      <x:c r="P63" s="30" t="n">
        <x:f>IF(ISNUMBER(J63),0,1)</x:f>
        <x:v>1</x:v>
      </x:c>
    </x:row>
    <x:row r="64" ht="54" customHeight="1">
      <x:c r="A64" s="30" t="str">
        <x:v>P4 / C2-A5</x:v>
      </x:c>
      <x:c r="B64" s="30" t="str">
        <x:v>C2</x:v>
      </x:c>
      <x:c r="C64" s="30" t="str">
        <x:v>P4</x:v>
      </x:c>
      <x:c r="D64" s="30" t="str">
        <x:v>C2-A5</x:v>
      </x:c>
      <x:c r="E64" s="30" t="str">
        <x:v>Marcos Arango Tamayo</x:v>
      </x:c>
      <x:c r="F64" s="30" t="str">
        <x:v>Elaboración técnica</x:v>
      </x:c>
      <x:c r="G64" s="35" t="n">
        <x:v>0.35294117647058826</x:v>
      </x:c>
      <x:c r="H64" s="33" t="n">
        <x:f>INDEX(Actividades!$I$6:$I$104,MATCH(A64,Actividades!$A$6:$A$104,0))</x:f>
        <x:v>0.17</x:v>
      </x:c>
      <x:c r="I64" s="33" t="n">
        <x:f>G64*H64</x:f>
        <x:v>0.06000000000000001</x:v>
      </x:c>
      <x:c r="J64" s="35"/>
      <x:c r="K64" s="33" t="str">
        <x:f>IF(ISNUMBER(J64),G64*J64,"")</x:f>
      </x:c>
      <x:c r="L64" s="33" t="str">
        <x:f>IF(ISNUMBER(J64),I64*J64,"")</x:f>
      </x:c>
      <x:c r="M64" s="36"/>
      <x:c r="N64" s="37"/>
      <x:c r="O64" s="37"/>
      <x:c r="P64" s="30" t="n">
        <x:f>IF(ISNUMBER(J64),0,1)</x:f>
        <x:v>1</x:v>
      </x:c>
    </x:row>
    <x:row r="65" ht="54" customHeight="1">
      <x:c r="A65" s="30" t="str">
        <x:v>P4 / C2-A5</x:v>
      </x:c>
      <x:c r="B65" s="30" t="str">
        <x:v>C2</x:v>
      </x:c>
      <x:c r="C65" s="30" t="str">
        <x:v>P4</x:v>
      </x:c>
      <x:c r="D65" s="30" t="str">
        <x:v>C2-A5</x:v>
      </x:c>
      <x:c r="E65" s="30" t="str">
        <x:v>Vanessa García Leoz</x:v>
      </x:c>
      <x:c r="F65" s="30" t="str">
        <x:v>Apoyo técnico</x:v>
      </x:c>
      <x:c r="G65" s="35" t="n">
        <x:v>0.17647058823529413</x:v>
      </x:c>
      <x:c r="H65" s="33" t="n">
        <x:f>INDEX(Actividades!$I$6:$I$104,MATCH(A65,Actividades!$A$6:$A$104,0))</x:f>
        <x:v>0.17</x:v>
      </x:c>
      <x:c r="I65" s="33" t="n">
        <x:f>G65*H65</x:f>
        <x:v>0.030000000000000006</x:v>
      </x:c>
      <x:c r="J65" s="35"/>
      <x:c r="K65" s="33" t="str">
        <x:f>IF(ISNUMBER(J65),G65*J65,"")</x:f>
      </x:c>
      <x:c r="L65" s="33" t="str">
        <x:f>IF(ISNUMBER(J65),I65*J65,"")</x:f>
      </x:c>
      <x:c r="M65" s="36"/>
      <x:c r="N65" s="37"/>
      <x:c r="O65" s="37"/>
      <x:c r="P65" s="30" t="n">
        <x:f>IF(ISNUMBER(J65),0,1)</x:f>
        <x:v>1</x:v>
      </x:c>
    </x:row>
    <x:row r="66" ht="54" customHeight="1">
      <x:c r="A66" s="30" t="str">
        <x:v>P4 / C2-A5</x:v>
      </x:c>
      <x:c r="B66" s="30" t="str">
        <x:v>C2</x:v>
      </x:c>
      <x:c r="C66" s="30" t="str">
        <x:v>P4</x:v>
      </x:c>
      <x:c r="D66" s="30" t="str">
        <x:v>C2-A5</x:v>
      </x:c>
      <x:c r="E66" s="30" t="str">
        <x:v>Paola Andrea Ruiz Franco</x:v>
      </x:c>
      <x:c r="F66" s="30" t="str">
        <x:v>Coordinación técnica, integración y seguimiento</x:v>
      </x:c>
      <x:c r="G66" s="35" t="n">
        <x:v>0.11764705882352941</x:v>
      </x:c>
      <x:c r="H66" s="33" t="n">
        <x:f>INDEX(Actividades!$I$6:$I$104,MATCH(A66,Actividades!$A$6:$A$104,0))</x:f>
        <x:v>0.17</x:v>
      </x:c>
      <x:c r="I66" s="33" t="n">
        <x:f>G66*H66</x:f>
        <x:v>0.02</x:v>
      </x:c>
      <x:c r="J66" s="35"/>
      <x:c r="K66" s="33" t="str">
        <x:f>IF(ISNUMBER(J66),G66*J66,"")</x:f>
      </x:c>
      <x:c r="L66" s="33" t="str">
        <x:f>IF(ISNUMBER(J66),I66*J66,"")</x:f>
      </x:c>
      <x:c r="M66" s="36"/>
      <x:c r="N66" s="37"/>
      <x:c r="O66" s="37"/>
      <x:c r="P66" s="30" t="n">
        <x:f>IF(ISNUMBER(J66),0,1)</x:f>
        <x:v>1</x:v>
      </x:c>
    </x:row>
    <x:row r="67" ht="54" customHeight="1">
      <x:c r="A67" s="30" t="str">
        <x:v>P4 / R01</x:v>
      </x:c>
      <x:c r="B67" s="30" t="str">
        <x:v>C2</x:v>
      </x:c>
      <x:c r="C67" s="30" t="str">
        <x:v>P4</x:v>
      </x:c>
      <x:c r="D67" s="30" t="str">
        <x:v>R01</x:v>
      </x:c>
      <x:c r="E67" s="30" t="str">
        <x:v>Guillermo Penagos</x:v>
      </x:c>
      <x:c r="F67" s="30" t="str">
        <x:v>Revisión técnica y cierre para envío a Secretaría</x:v>
      </x:c>
      <x:c r="G67" s="35" t="n">
        <x:v>0.5</x:v>
      </x:c>
      <x:c r="H67" s="33" t="n">
        <x:f>INDEX(Actividades!$I$6:$I$104,MATCH(A67,Actividades!$A$6:$A$104,0))</x:f>
        <x:v>0.1</x:v>
      </x:c>
      <x:c r="I67" s="33" t="n">
        <x:f>G67*H67</x:f>
        <x:v>0.05</x:v>
      </x:c>
      <x:c r="J67" s="35"/>
      <x:c r="K67" s="33" t="str">
        <x:f>IF(ISNUMBER(J67),G67*J67,"")</x:f>
      </x:c>
      <x:c r="L67" s="33" t="str">
        <x:f>IF(ISNUMBER(J67),I67*J67,"")</x:f>
      </x:c>
      <x:c r="M67" s="36"/>
      <x:c r="N67" s="37"/>
      <x:c r="O67" s="37"/>
      <x:c r="P67" s="30" t="n">
        <x:f>IF(ISNUMBER(J67),0,1)</x:f>
        <x:v>1</x:v>
      </x:c>
    </x:row>
    <x:row r="68" ht="54" customHeight="1">
      <x:c r="A68" s="30" t="str">
        <x:v>P4 / R01</x:v>
      </x:c>
      <x:c r="B68" s="30" t="str">
        <x:v>C2</x:v>
      </x:c>
      <x:c r="C68" s="30" t="str">
        <x:v>P4</x:v>
      </x:c>
      <x:c r="D68" s="30" t="str">
        <x:v>R01</x:v>
      </x:c>
      <x:c r="E68" s="30" t="str">
        <x:v>María José Suárez</x:v>
      </x:c>
      <x:c r="F68" s="30" t="str">
        <x:v>Revisión integral y cierre para envío a Secretaría</x:v>
      </x:c>
      <x:c r="G68" s="35" t="n">
        <x:v>0.5</x:v>
      </x:c>
      <x:c r="H68" s="33" t="n">
        <x:f>INDEX(Actividades!$I$6:$I$104,MATCH(A68,Actividades!$A$6:$A$104,0))</x:f>
        <x:v>0.1</x:v>
      </x:c>
      <x:c r="I68" s="33" t="n">
        <x:f>G68*H68</x:f>
        <x:v>0.05</x:v>
      </x:c>
      <x:c r="J68" s="35"/>
      <x:c r="K68" s="33" t="str">
        <x:f>IF(ISNUMBER(J68),G68*J68,"")</x:f>
      </x:c>
      <x:c r="L68" s="33" t="str">
        <x:f>IF(ISNUMBER(J68),I68*J68,"")</x:f>
      </x:c>
      <x:c r="M68" s="36"/>
      <x:c r="N68" s="37"/>
      <x:c r="O68" s="37"/>
      <x:c r="P68" s="30" t="n">
        <x:f>IF(ISNUMBER(J68),0,1)</x:f>
        <x:v>1</x:v>
      </x:c>
    </x:row>
    <x:row r="69" ht="54" customHeight="1">
      <x:c r="A69" s="30" t="str">
        <x:v>P4 / R02</x:v>
      </x:c>
      <x:c r="B69" s="30" t="str">
        <x:v>C2</x:v>
      </x:c>
      <x:c r="C69" s="30" t="str">
        <x:v>P4</x:v>
      </x:c>
      <x:c r="D69" s="30" t="str">
        <x:v>R02</x:v>
      </x:c>
      <x:c r="E69" s="30" t="str">
        <x:v>Juana — Secretaría de Medio Ambiente</x:v>
      </x:c>
      <x:c r="F69" s="30" t="str">
        <x:v>Validación y revisión final institucional</x:v>
      </x:c>
      <x:c r="G69" s="35" t="n">
        <x:v>1</x:v>
      </x:c>
      <x:c r="H69" s="33" t="n">
        <x:f>INDEX(Actividades!$I$6:$I$104,MATCH(A69,Actividades!$A$6:$A$104,0))</x:f>
        <x:v>0.05</x:v>
      </x:c>
      <x:c r="I69" s="33" t="n">
        <x:f>G69*H69</x:f>
        <x:v>0.05</x:v>
      </x:c>
      <x:c r="J69" s="35"/>
      <x:c r="K69" s="33" t="str">
        <x:f>IF(ISNUMBER(J69),G69*J69,"")</x:f>
      </x:c>
      <x:c r="L69" s="33" t="str">
        <x:f>IF(ISNUMBER(J69),I69*J69,"")</x:f>
      </x:c>
      <x:c r="M69" s="36"/>
      <x:c r="N69" s="37"/>
      <x:c r="O69" s="37"/>
      <x:c r="P69" s="30" t="n">
        <x:f>IF(ISNUMBER(J69),0,1)</x:f>
        <x:v>1</x:v>
      </x:c>
    </x:row>
    <x:row r="70" ht="54" customHeight="1">
      <x:c r="A70" s="30" t="str">
        <x:v>P5 / C3-A1</x:v>
      </x:c>
      <x:c r="B70" s="30" t="str">
        <x:v>C3</x:v>
      </x:c>
      <x:c r="C70" s="30" t="str">
        <x:v>P5</x:v>
      </x:c>
      <x:c r="D70" s="30" t="str">
        <x:v>C3-A1</x:v>
      </x:c>
      <x:c r="E70" s="30" t="str">
        <x:v>Marcos Arango Tamayo</x:v>
      </x:c>
      <x:c r="F70" s="30" t="str">
        <x:v>Elaboración técnica</x:v>
      </x:c>
      <x:c r="G70" s="35" t="n">
        <x:v>0.35294117647058826</x:v>
      </x:c>
      <x:c r="H70" s="33" t="n">
        <x:f>INDEX(Actividades!$I$6:$I$104,MATCH(A70,Actividades!$A$6:$A$104,0))</x:f>
        <x:v>0.1275</x:v>
      </x:c>
      <x:c r="I70" s="33" t="n">
        <x:f>G70*H70</x:f>
        <x:v>0.045000000000000005</x:v>
      </x:c>
      <x:c r="J70" s="35"/>
      <x:c r="K70" s="33" t="str">
        <x:f>IF(ISNUMBER(J70),G70*J70,"")</x:f>
      </x:c>
      <x:c r="L70" s="33" t="str">
        <x:f>IF(ISNUMBER(J70),I70*J70,"")</x:f>
      </x:c>
      <x:c r="M70" s="36"/>
      <x:c r="N70" s="37"/>
      <x:c r="O70" s="37"/>
      <x:c r="P70" s="30" t="n">
        <x:f>IF(ISNUMBER(J70),0,1)</x:f>
        <x:v>1</x:v>
      </x:c>
    </x:row>
    <x:row r="71" ht="54" customHeight="1">
      <x:c r="A71" s="30" t="str">
        <x:v>P5 / C3-A1</x:v>
      </x:c>
      <x:c r="B71" s="30" t="str">
        <x:v>C3</x:v>
      </x:c>
      <x:c r="C71" s="30" t="str">
        <x:v>P5</x:v>
      </x:c>
      <x:c r="D71" s="30" t="str">
        <x:v>C3-A1</x:v>
      </x:c>
      <x:c r="E71" s="30" t="str">
        <x:v>Sebastián Cartagena</x:v>
      </x:c>
      <x:c r="F71" s="30" t="str">
        <x:v>Elaboración técnica</x:v>
      </x:c>
      <x:c r="G71" s="35" t="n">
        <x:v>0.35294117647058826</x:v>
      </x:c>
      <x:c r="H71" s="33" t="n">
        <x:f>INDEX(Actividades!$I$6:$I$104,MATCH(A71,Actividades!$A$6:$A$104,0))</x:f>
        <x:v>0.1275</x:v>
      </x:c>
      <x:c r="I71" s="33" t="n">
        <x:f>G71*H71</x:f>
        <x:v>0.045000000000000005</x:v>
      </x:c>
      <x:c r="J71" s="35"/>
      <x:c r="K71" s="33" t="str">
        <x:f>IF(ISNUMBER(J71),G71*J71,"")</x:f>
      </x:c>
      <x:c r="L71" s="33" t="str">
        <x:f>IF(ISNUMBER(J71),I71*J71,"")</x:f>
      </x:c>
      <x:c r="M71" s="36"/>
      <x:c r="N71" s="37"/>
      <x:c r="O71" s="37"/>
      <x:c r="P71" s="30" t="n">
        <x:f>IF(ISNUMBER(J71),0,1)</x:f>
        <x:v>1</x:v>
      </x:c>
    </x:row>
    <x:row r="72" ht="54" customHeight="1">
      <x:c r="A72" s="30" t="str">
        <x:v>P5 / C3-A1</x:v>
      </x:c>
      <x:c r="B72" s="30" t="str">
        <x:v>C3</x:v>
      </x:c>
      <x:c r="C72" s="30" t="str">
        <x:v>P5</x:v>
      </x:c>
      <x:c r="D72" s="30" t="str">
        <x:v>C3-A1</x:v>
      </x:c>
      <x:c r="E72" s="30" t="str">
        <x:v>Juliana Valencia</x:v>
      </x:c>
      <x:c r="F72" s="30" t="str">
        <x:v>Apoyo técnico</x:v>
      </x:c>
      <x:c r="G72" s="35" t="n">
        <x:v>0.17647058823529413</x:v>
      </x:c>
      <x:c r="H72" s="33" t="n">
        <x:f>INDEX(Actividades!$I$6:$I$104,MATCH(A72,Actividades!$A$6:$A$104,0))</x:f>
        <x:v>0.1275</x:v>
      </x:c>
      <x:c r="I72" s="33" t="n">
        <x:f>G72*H72</x:f>
        <x:v>0.022500000000000003</x:v>
      </x:c>
      <x:c r="J72" s="35"/>
      <x:c r="K72" s="33" t="str">
        <x:f>IF(ISNUMBER(J72),G72*J72,"")</x:f>
      </x:c>
      <x:c r="L72" s="33" t="str">
        <x:f>IF(ISNUMBER(J72),I72*J72,"")</x:f>
      </x:c>
      <x:c r="M72" s="36"/>
      <x:c r="N72" s="37"/>
      <x:c r="O72" s="37"/>
      <x:c r="P72" s="30" t="n">
        <x:f>IF(ISNUMBER(J72),0,1)</x:f>
        <x:v>1</x:v>
      </x:c>
    </x:row>
    <x:row r="73" ht="54" customHeight="1">
      <x:c r="A73" s="30" t="str">
        <x:v>P5 / C3-A1</x:v>
      </x:c>
      <x:c r="B73" s="30" t="str">
        <x:v>C3</x:v>
      </x:c>
      <x:c r="C73" s="30" t="str">
        <x:v>P5</x:v>
      </x:c>
      <x:c r="D73" s="30" t="str">
        <x:v>C3-A1</x:v>
      </x:c>
      <x:c r="E73" s="30" t="str">
        <x:v>Paola Andrea Ruiz Franco</x:v>
      </x:c>
      <x:c r="F73" s="30" t="str">
        <x:v>Coordinación técnica, integración y seguimiento</x:v>
      </x:c>
      <x:c r="G73" s="35" t="n">
        <x:v>0.11764705882352941</x:v>
      </x:c>
      <x:c r="H73" s="33" t="n">
        <x:f>INDEX(Actividades!$I$6:$I$104,MATCH(A73,Actividades!$A$6:$A$104,0))</x:f>
        <x:v>0.1275</x:v>
      </x:c>
      <x:c r="I73" s="33" t="n">
        <x:f>G73*H73</x:f>
        <x:v>0.015</x:v>
      </x:c>
      <x:c r="J73" s="35"/>
      <x:c r="K73" s="33" t="str">
        <x:f>IF(ISNUMBER(J73),G73*J73,"")</x:f>
      </x:c>
      <x:c r="L73" s="33" t="str">
        <x:f>IF(ISNUMBER(J73),I73*J73,"")</x:f>
      </x:c>
      <x:c r="M73" s="36"/>
      <x:c r="N73" s="37"/>
      <x:c r="O73" s="37"/>
      <x:c r="P73" s="30" t="n">
        <x:f>IF(ISNUMBER(J73),0,1)</x:f>
        <x:v>1</x:v>
      </x:c>
    </x:row>
    <x:row r="74" ht="54" customHeight="1">
      <x:c r="A74" s="30" t="str">
        <x:v>P5 / C3-A2</x:v>
      </x:c>
      <x:c r="B74" s="30" t="str">
        <x:v>C3</x:v>
      </x:c>
      <x:c r="C74" s="30" t="str">
        <x:v>P5</x:v>
      </x:c>
      <x:c r="D74" s="30" t="str">
        <x:v>C3-A2</x:v>
      </x:c>
      <x:c r="E74" s="30" t="str">
        <x:v>Jeiner de Jesús Castellanos Barliza</x:v>
      </x:c>
      <x:c r="F74" s="30" t="str">
        <x:v>Elaboración técnica</x:v>
      </x:c>
      <x:c r="G74" s="35" t="n">
        <x:v>0.14705882352941177</x:v>
      </x:c>
      <x:c r="H74" s="33" t="n">
        <x:f>INDEX(Actividades!$I$6:$I$104,MATCH(A74,Actividades!$A$6:$A$104,0))</x:f>
        <x:v>0.2975</x:v>
      </x:c>
      <x:c r="I74" s="33" t="n">
        <x:f>G74*H74</x:f>
        <x:v>0.04375</x:v>
      </x:c>
      <x:c r="J74" s="35"/>
      <x:c r="K74" s="33" t="str">
        <x:f>IF(ISNUMBER(J74),G74*J74,"")</x:f>
      </x:c>
      <x:c r="L74" s="33" t="str">
        <x:f>IF(ISNUMBER(J74),I74*J74,"")</x:f>
      </x:c>
      <x:c r="M74" s="36"/>
      <x:c r="N74" s="37"/>
      <x:c r="O74" s="37"/>
      <x:c r="P74" s="30" t="n">
        <x:f>IF(ISNUMBER(J74),0,1)</x:f>
        <x:v>1</x:v>
      </x:c>
    </x:row>
    <x:row r="75" ht="54" customHeight="1">
      <x:c r="A75" s="30" t="str">
        <x:v>P5 / C3-A2</x:v>
      </x:c>
      <x:c r="B75" s="30" t="str">
        <x:v>C3</x:v>
      </x:c>
      <x:c r="C75" s="30" t="str">
        <x:v>P5</x:v>
      </x:c>
      <x:c r="D75" s="30" t="str">
        <x:v>C3-A2</x:v>
      </x:c>
      <x:c r="E75" s="30" t="str">
        <x:v>Marcos Arango Tamayo</x:v>
      </x:c>
      <x:c r="F75" s="30" t="str">
        <x:v>Elaboración técnica</x:v>
      </x:c>
      <x:c r="G75" s="35" t="n">
        <x:v>0.14705882352941177</x:v>
      </x:c>
      <x:c r="H75" s="33" t="n">
        <x:f>INDEX(Actividades!$I$6:$I$104,MATCH(A75,Actividades!$A$6:$A$104,0))</x:f>
        <x:v>0.2975</x:v>
      </x:c>
      <x:c r="I75" s="33" t="n">
        <x:f>G75*H75</x:f>
        <x:v>0.04375</x:v>
      </x:c>
      <x:c r="J75" s="35"/>
      <x:c r="K75" s="33" t="str">
        <x:f>IF(ISNUMBER(J75),G75*J75,"")</x:f>
      </x:c>
      <x:c r="L75" s="33" t="str">
        <x:f>IF(ISNUMBER(J75),I75*J75,"")</x:f>
      </x:c>
      <x:c r="M75" s="36"/>
      <x:c r="N75" s="37"/>
      <x:c r="O75" s="37"/>
      <x:c r="P75" s="30" t="n">
        <x:f>IF(ISNUMBER(J75),0,1)</x:f>
        <x:v>1</x:v>
      </x:c>
    </x:row>
    <x:row r="76" ht="54" customHeight="1">
      <x:c r="A76" s="30" t="str">
        <x:v>P5 / C3-A2</x:v>
      </x:c>
      <x:c r="B76" s="30" t="str">
        <x:v>C3</x:v>
      </x:c>
      <x:c r="C76" s="30" t="str">
        <x:v>P5</x:v>
      </x:c>
      <x:c r="D76" s="30" t="str">
        <x:v>C3-A2</x:v>
      </x:c>
      <x:c r="E76" s="30" t="str">
        <x:v>Harlem Acevedo Agudelo</x:v>
      </x:c>
      <x:c r="F76" s="30" t="str">
        <x:v>Elaboración técnica</x:v>
      </x:c>
      <x:c r="G76" s="35" t="n">
        <x:v>0.14705882352941177</x:v>
      </x:c>
      <x:c r="H76" s="33" t="n">
        <x:f>INDEX(Actividades!$I$6:$I$104,MATCH(A76,Actividades!$A$6:$A$104,0))</x:f>
        <x:v>0.2975</x:v>
      </x:c>
      <x:c r="I76" s="33" t="n">
        <x:f>G76*H76</x:f>
        <x:v>0.04375</x:v>
      </x:c>
      <x:c r="J76" s="35"/>
      <x:c r="K76" s="33" t="str">
        <x:f>IF(ISNUMBER(J76),G76*J76,"")</x:f>
      </x:c>
      <x:c r="L76" s="33" t="str">
        <x:f>IF(ISNUMBER(J76),I76*J76,"")</x:f>
      </x:c>
      <x:c r="M76" s="36"/>
      <x:c r="N76" s="37"/>
      <x:c r="O76" s="37"/>
      <x:c r="P76" s="30" t="n">
        <x:f>IF(ISNUMBER(J76),0,1)</x:f>
        <x:v>1</x:v>
      </x:c>
    </x:row>
    <x:row r="77" ht="54" customHeight="1">
      <x:c r="A77" s="30" t="str">
        <x:v>P5 / C3-A2</x:v>
      </x:c>
      <x:c r="B77" s="30" t="str">
        <x:v>C3</x:v>
      </x:c>
      <x:c r="C77" s="30" t="str">
        <x:v>P5</x:v>
      </x:c>
      <x:c r="D77" s="30" t="str">
        <x:v>C3-A2</x:v>
      </x:c>
      <x:c r="E77" s="30" t="str">
        <x:v>Vanessa García Leoz</x:v>
      </x:c>
      <x:c r="F77" s="30" t="str">
        <x:v>Elaboración técnica</x:v>
      </x:c>
      <x:c r="G77" s="35" t="n">
        <x:v>0.14705882352941177</x:v>
      </x:c>
      <x:c r="H77" s="33" t="n">
        <x:f>INDEX(Actividades!$I$6:$I$104,MATCH(A77,Actividades!$A$6:$A$104,0))</x:f>
        <x:v>0.2975</x:v>
      </x:c>
      <x:c r="I77" s="33" t="n">
        <x:f>G77*H77</x:f>
        <x:v>0.04375</x:v>
      </x:c>
      <x:c r="J77" s="35"/>
      <x:c r="K77" s="33" t="str">
        <x:f>IF(ISNUMBER(J77),G77*J77,"")</x:f>
      </x:c>
      <x:c r="L77" s="33" t="str">
        <x:f>IF(ISNUMBER(J77),I77*J77,"")</x:f>
      </x:c>
      <x:c r="M77" s="36"/>
      <x:c r="N77" s="37"/>
      <x:c r="O77" s="37"/>
      <x:c r="P77" s="30" t="n">
        <x:f>IF(ISNUMBER(J77),0,1)</x:f>
        <x:v>1</x:v>
      </x:c>
    </x:row>
    <x:row r="78" ht="54" customHeight="1">
      <x:c r="A78" s="30" t="str">
        <x:v>P5 / C3-A2</x:v>
      </x:c>
      <x:c r="B78" s="30" t="str">
        <x:v>C3</x:v>
      </x:c>
      <x:c r="C78" s="30" t="str">
        <x:v>P5</x:v>
      </x:c>
      <x:c r="D78" s="30" t="str">
        <x:v>C3-A2</x:v>
      </x:c>
      <x:c r="E78" s="30" t="str">
        <x:v>Alejandro Silva Cortés</x:v>
      </x:c>
      <x:c r="F78" s="30" t="str">
        <x:v>Elaboración técnica</x:v>
      </x:c>
      <x:c r="G78" s="35" t="n">
        <x:v>0.14705882352941177</x:v>
      </x:c>
      <x:c r="H78" s="33" t="n">
        <x:f>INDEX(Actividades!$I$6:$I$104,MATCH(A78,Actividades!$A$6:$A$104,0))</x:f>
        <x:v>0.2975</x:v>
      </x:c>
      <x:c r="I78" s="33" t="n">
        <x:f>G78*H78</x:f>
        <x:v>0.04375</x:v>
      </x:c>
      <x:c r="J78" s="35"/>
      <x:c r="K78" s="33" t="str">
        <x:f>IF(ISNUMBER(J78),G78*J78,"")</x:f>
      </x:c>
      <x:c r="L78" s="33" t="str">
        <x:f>IF(ISNUMBER(J78),I78*J78,"")</x:f>
      </x:c>
      <x:c r="M78" s="36"/>
      <x:c r="N78" s="37"/>
      <x:c r="O78" s="37"/>
      <x:c r="P78" s="30" t="n">
        <x:f>IF(ISNUMBER(J78),0,1)</x:f>
        <x:v>1</x:v>
      </x:c>
    </x:row>
    <x:row r="79" ht="54" customHeight="1">
      <x:c r="A79" s="30" t="str">
        <x:v>P5 / C3-A2</x:v>
      </x:c>
      <x:c r="B79" s="30" t="str">
        <x:v>C3</x:v>
      </x:c>
      <x:c r="C79" s="30" t="str">
        <x:v>P5</x:v>
      </x:c>
      <x:c r="D79" s="30" t="str">
        <x:v>C3-A2</x:v>
      </x:c>
      <x:c r="E79" s="30" t="str">
        <x:v>Juliana Valencia</x:v>
      </x:c>
      <x:c r="F79" s="30" t="str">
        <x:v>Apoyo técnico</x:v>
      </x:c>
      <x:c r="G79" s="35" t="n">
        <x:v>0.07352941176470588</x:v>
      </x:c>
      <x:c r="H79" s="33" t="n">
        <x:f>INDEX(Actividades!$I$6:$I$104,MATCH(A79,Actividades!$A$6:$A$104,0))</x:f>
        <x:v>0.2975</x:v>
      </x:c>
      <x:c r="I79" s="33" t="n">
        <x:f>G79*H79</x:f>
        <x:v>0.021875</x:v>
      </x:c>
      <x:c r="J79" s="35"/>
      <x:c r="K79" s="33" t="str">
        <x:f>IF(ISNUMBER(J79),G79*J79,"")</x:f>
      </x:c>
      <x:c r="L79" s="33" t="str">
        <x:f>IF(ISNUMBER(J79),I79*J79,"")</x:f>
      </x:c>
      <x:c r="M79" s="36"/>
      <x:c r="N79" s="37"/>
      <x:c r="O79" s="37"/>
      <x:c r="P79" s="30" t="n">
        <x:f>IF(ISNUMBER(J79),0,1)</x:f>
        <x:v>1</x:v>
      </x:c>
    </x:row>
    <x:row r="80" ht="54" customHeight="1">
      <x:c r="A80" s="30" t="str">
        <x:v>P5 / C3-A2</x:v>
      </x:c>
      <x:c r="B80" s="30" t="str">
        <x:v>C3</x:v>
      </x:c>
      <x:c r="C80" s="30" t="str">
        <x:v>P5</x:v>
      </x:c>
      <x:c r="D80" s="30" t="str">
        <x:v>C3-A2</x:v>
      </x:c>
      <x:c r="E80" s="30" t="str">
        <x:v>Diana Carolina Ríos Echeverri</x:v>
      </x:c>
      <x:c r="F80" s="30" t="str">
        <x:v>Apoyo técnico</x:v>
      </x:c>
      <x:c r="G80" s="35" t="n">
        <x:v>0.07352941176470588</x:v>
      </x:c>
      <x:c r="H80" s="33" t="n">
        <x:f>INDEX(Actividades!$I$6:$I$104,MATCH(A80,Actividades!$A$6:$A$104,0))</x:f>
        <x:v>0.2975</x:v>
      </x:c>
      <x:c r="I80" s="33" t="n">
        <x:f>G80*H80</x:f>
        <x:v>0.021875</x:v>
      </x:c>
      <x:c r="J80" s="35"/>
      <x:c r="K80" s="33" t="str">
        <x:f>IF(ISNUMBER(J80),G80*J80,"")</x:f>
      </x:c>
      <x:c r="L80" s="33" t="str">
        <x:f>IF(ISNUMBER(J80),I80*J80,"")</x:f>
      </x:c>
      <x:c r="M80" s="36"/>
      <x:c r="N80" s="37"/>
      <x:c r="O80" s="37"/>
      <x:c r="P80" s="30" t="n">
        <x:f>IF(ISNUMBER(J80),0,1)</x:f>
        <x:v>1</x:v>
      </x:c>
    </x:row>
    <x:row r="81" ht="54" customHeight="1">
      <x:c r="A81" s="30" t="str">
        <x:v>P5 / C3-A2</x:v>
      </x:c>
      <x:c r="B81" s="30" t="str">
        <x:v>C3</x:v>
      </x:c>
      <x:c r="C81" s="30" t="str">
        <x:v>P5</x:v>
      </x:c>
      <x:c r="D81" s="30" t="str">
        <x:v>C3-A2</x:v>
      </x:c>
      <x:c r="E81" s="30" t="str">
        <x:v>Paola Andrea Ruiz Franco</x:v>
      </x:c>
      <x:c r="F81" s="30" t="str">
        <x:v>Coordinación técnica, integración y seguimiento</x:v>
      </x:c>
      <x:c r="G81" s="35" t="n">
        <x:v>0.11764705882352941</x:v>
      </x:c>
      <x:c r="H81" s="33" t="n">
        <x:f>INDEX(Actividades!$I$6:$I$104,MATCH(A81,Actividades!$A$6:$A$104,0))</x:f>
        <x:v>0.2975</x:v>
      </x:c>
      <x:c r="I81" s="33" t="n">
        <x:f>G81*H81</x:f>
        <x:v>0.034999999999999996</x:v>
      </x:c>
      <x:c r="J81" s="35"/>
      <x:c r="K81" s="33" t="str">
        <x:f>IF(ISNUMBER(J81),G81*J81,"")</x:f>
      </x:c>
      <x:c r="L81" s="33" t="str">
        <x:f>IF(ISNUMBER(J81),I81*J81,"")</x:f>
      </x:c>
      <x:c r="M81" s="36"/>
      <x:c r="N81" s="37"/>
      <x:c r="O81" s="37"/>
      <x:c r="P81" s="30" t="n">
        <x:f>IF(ISNUMBER(J81),0,1)</x:f>
        <x:v>1</x:v>
      </x:c>
    </x:row>
    <x:row r="82" ht="54" customHeight="1">
      <x:c r="A82" s="30" t="str">
        <x:v>P5 / C3-A3</x:v>
      </x:c>
      <x:c r="B82" s="30" t="str">
        <x:v>C3</x:v>
      </x:c>
      <x:c r="C82" s="30" t="str">
        <x:v>P5</x:v>
      </x:c>
      <x:c r="D82" s="30" t="str">
        <x:v>C3-A3</x:v>
      </x:c>
      <x:c r="E82" s="30" t="str">
        <x:v>Juliana Valencia</x:v>
      </x:c>
      <x:c r="F82" s="30" t="str">
        <x:v>Elaboración técnica</x:v>
      </x:c>
      <x:c r="G82" s="35" t="n">
        <x:v>0.5882352941176471</x:v>
      </x:c>
      <x:c r="H82" s="33" t="n">
        <x:f>INDEX(Actividades!$I$6:$I$104,MATCH(A82,Actividades!$A$6:$A$104,0))</x:f>
        <x:v>0.1275</x:v>
      </x:c>
      <x:c r="I82" s="33" t="n">
        <x:f>G82*H82</x:f>
        <x:v>0.075</x:v>
      </x:c>
      <x:c r="J82" s="35"/>
      <x:c r="K82" s="33" t="str">
        <x:f>IF(ISNUMBER(J82),G82*J82,"")</x:f>
      </x:c>
      <x:c r="L82" s="33" t="str">
        <x:f>IF(ISNUMBER(J82),I82*J82,"")</x:f>
      </x:c>
      <x:c r="M82" s="36"/>
      <x:c r="N82" s="37"/>
      <x:c r="O82" s="37"/>
      <x:c r="P82" s="30" t="n">
        <x:f>IF(ISNUMBER(J82),0,1)</x:f>
        <x:v>1</x:v>
      </x:c>
    </x:row>
    <x:row r="83" ht="54" customHeight="1">
      <x:c r="A83" s="30" t="str">
        <x:v>P5 / C3-A3</x:v>
      </x:c>
      <x:c r="B83" s="30" t="str">
        <x:v>C3</x:v>
      </x:c>
      <x:c r="C83" s="30" t="str">
        <x:v>P5</x:v>
      </x:c>
      <x:c r="D83" s="30" t="str">
        <x:v>C3-A3</x:v>
      </x:c>
      <x:c r="E83" s="30" t="str">
        <x:v>Marcos Arango Tamayo</x:v>
      </x:c>
      <x:c r="F83" s="30" t="str">
        <x:v>Apoyo técnico</x:v>
      </x:c>
      <x:c r="G83" s="35" t="n">
        <x:v>0.29411764705882354</x:v>
      </x:c>
      <x:c r="H83" s="33" t="n">
        <x:f>INDEX(Actividades!$I$6:$I$104,MATCH(A83,Actividades!$A$6:$A$104,0))</x:f>
        <x:v>0.1275</x:v>
      </x:c>
      <x:c r="I83" s="33" t="n">
        <x:f>G83*H83</x:f>
        <x:v>0.0375</x:v>
      </x:c>
      <x:c r="J83" s="35"/>
      <x:c r="K83" s="33" t="str">
        <x:f>IF(ISNUMBER(J83),G83*J83,"")</x:f>
      </x:c>
      <x:c r="L83" s="33" t="str">
        <x:f>IF(ISNUMBER(J83),I83*J83,"")</x:f>
      </x:c>
      <x:c r="M83" s="36"/>
      <x:c r="N83" s="37"/>
      <x:c r="O83" s="37"/>
      <x:c r="P83" s="30" t="n">
        <x:f>IF(ISNUMBER(J83),0,1)</x:f>
        <x:v>1</x:v>
      </x:c>
    </x:row>
    <x:row r="84" ht="54" customHeight="1">
      <x:c r="A84" s="30" t="str">
        <x:v>P5 / C3-A3</x:v>
      </x:c>
      <x:c r="B84" s="30" t="str">
        <x:v>C3</x:v>
      </x:c>
      <x:c r="C84" s="30" t="str">
        <x:v>P5</x:v>
      </x:c>
      <x:c r="D84" s="30" t="str">
        <x:v>C3-A3</x:v>
      </x:c>
      <x:c r="E84" s="30" t="str">
        <x:v>Paola Andrea Ruiz Franco</x:v>
      </x:c>
      <x:c r="F84" s="30" t="str">
        <x:v>Coordinación técnica, integración y seguimiento</x:v>
      </x:c>
      <x:c r="G84" s="35" t="n">
        <x:v>0.11764705882352941</x:v>
      </x:c>
      <x:c r="H84" s="33" t="n">
        <x:f>INDEX(Actividades!$I$6:$I$104,MATCH(A84,Actividades!$A$6:$A$104,0))</x:f>
        <x:v>0.1275</x:v>
      </x:c>
      <x:c r="I84" s="33" t="n">
        <x:f>G84*H84</x:f>
        <x:v>0.015</x:v>
      </x:c>
      <x:c r="J84" s="35"/>
      <x:c r="K84" s="33" t="str">
        <x:f>IF(ISNUMBER(J84),G84*J84,"")</x:f>
      </x:c>
      <x:c r="L84" s="33" t="str">
        <x:f>IF(ISNUMBER(J84),I84*J84,"")</x:f>
      </x:c>
      <x:c r="M84" s="36"/>
      <x:c r="N84" s="37"/>
      <x:c r="O84" s="37"/>
      <x:c r="P84" s="30" t="n">
        <x:f>IF(ISNUMBER(J84),0,1)</x:f>
        <x:v>1</x:v>
      </x:c>
    </x:row>
    <x:row r="85" ht="54" customHeight="1">
      <x:c r="A85" s="30" t="str">
        <x:v>P5 / C3-A4</x:v>
      </x:c>
      <x:c r="B85" s="30" t="str">
        <x:v>C3</x:v>
      </x:c>
      <x:c r="C85" s="30" t="str">
        <x:v>P5</x:v>
      </x:c>
      <x:c r="D85" s="30" t="str">
        <x:v>C3-A4</x:v>
      </x:c>
      <x:c r="E85" s="30" t="str">
        <x:v>Marcos Arango Tamayo</x:v>
      </x:c>
      <x:c r="F85" s="30" t="str">
        <x:v>Elaboración técnica</x:v>
      </x:c>
      <x:c r="G85" s="35" t="n">
        <x:v>0.35294117647058826</x:v>
      </x:c>
      <x:c r="H85" s="33" t="n">
        <x:f>INDEX(Actividades!$I$6:$I$104,MATCH(A85,Actividades!$A$6:$A$104,0))</x:f>
        <x:v>0.1275</x:v>
      </x:c>
      <x:c r="I85" s="33" t="n">
        <x:f>G85*H85</x:f>
        <x:v>0.045000000000000005</x:v>
      </x:c>
      <x:c r="J85" s="35"/>
      <x:c r="K85" s="33" t="str">
        <x:f>IF(ISNUMBER(J85),G85*J85,"")</x:f>
      </x:c>
      <x:c r="L85" s="33" t="str">
        <x:f>IF(ISNUMBER(J85),I85*J85,"")</x:f>
      </x:c>
      <x:c r="M85" s="36"/>
      <x:c r="N85" s="37"/>
      <x:c r="O85" s="37"/>
      <x:c r="P85" s="30" t="n">
        <x:f>IF(ISNUMBER(J85),0,1)</x:f>
        <x:v>1</x:v>
      </x:c>
    </x:row>
    <x:row r="86" ht="54" customHeight="1">
      <x:c r="A86" s="30" t="str">
        <x:v>P5 / C3-A4</x:v>
      </x:c>
      <x:c r="B86" s="30" t="str">
        <x:v>C3</x:v>
      </x:c>
      <x:c r="C86" s="30" t="str">
        <x:v>P5</x:v>
      </x:c>
      <x:c r="D86" s="30" t="str">
        <x:v>C3-A4</x:v>
      </x:c>
      <x:c r="E86" s="30" t="str">
        <x:v>Vanessa García Leoz</x:v>
      </x:c>
      <x:c r="F86" s="30" t="str">
        <x:v>Elaboración técnica</x:v>
      </x:c>
      <x:c r="G86" s="35" t="n">
        <x:v>0.35294117647058826</x:v>
      </x:c>
      <x:c r="H86" s="33" t="n">
        <x:f>INDEX(Actividades!$I$6:$I$104,MATCH(A86,Actividades!$A$6:$A$104,0))</x:f>
        <x:v>0.1275</x:v>
      </x:c>
      <x:c r="I86" s="33" t="n">
        <x:f>G86*H86</x:f>
        <x:v>0.045000000000000005</x:v>
      </x:c>
      <x:c r="J86" s="35"/>
      <x:c r="K86" s="33" t="str">
        <x:f>IF(ISNUMBER(J86),G86*J86,"")</x:f>
      </x:c>
      <x:c r="L86" s="33" t="str">
        <x:f>IF(ISNUMBER(J86),I86*J86,"")</x:f>
      </x:c>
      <x:c r="M86" s="36"/>
      <x:c r="N86" s="37"/>
      <x:c r="O86" s="37"/>
      <x:c r="P86" s="30" t="n">
        <x:f>IF(ISNUMBER(J86),0,1)</x:f>
        <x:v>1</x:v>
      </x:c>
    </x:row>
    <x:row r="87" ht="54" customHeight="1">
      <x:c r="A87" s="30" t="str">
        <x:v>P5 / C3-A4</x:v>
      </x:c>
      <x:c r="B87" s="30" t="str">
        <x:v>C3</x:v>
      </x:c>
      <x:c r="C87" s="30" t="str">
        <x:v>P5</x:v>
      </x:c>
      <x:c r="D87" s="30" t="str">
        <x:v>C3-A4</x:v>
      </x:c>
      <x:c r="E87" s="30" t="str">
        <x:v>Jeiner de Jesús Castellanos Barliza</x:v>
      </x:c>
      <x:c r="F87" s="30" t="str">
        <x:v>Apoyo técnico</x:v>
      </x:c>
      <x:c r="G87" s="35" t="n">
        <x:v>0.17647058823529413</x:v>
      </x:c>
      <x:c r="H87" s="33" t="n">
        <x:f>INDEX(Actividades!$I$6:$I$104,MATCH(A87,Actividades!$A$6:$A$104,0))</x:f>
        <x:v>0.1275</x:v>
      </x:c>
      <x:c r="I87" s="33" t="n">
        <x:f>G87*H87</x:f>
        <x:v>0.022500000000000003</x:v>
      </x:c>
      <x:c r="J87" s="35"/>
      <x:c r="K87" s="33" t="str">
        <x:f>IF(ISNUMBER(J87),G87*J87,"")</x:f>
      </x:c>
      <x:c r="L87" s="33" t="str">
        <x:f>IF(ISNUMBER(J87),I87*J87,"")</x:f>
      </x:c>
      <x:c r="M87" s="36"/>
      <x:c r="N87" s="37"/>
      <x:c r="O87" s="37"/>
      <x:c r="P87" s="30" t="n">
        <x:f>IF(ISNUMBER(J87),0,1)</x:f>
        <x:v>1</x:v>
      </x:c>
    </x:row>
    <x:row r="88" ht="54" customHeight="1">
      <x:c r="A88" s="30" t="str">
        <x:v>P5 / C3-A4</x:v>
      </x:c>
      <x:c r="B88" s="30" t="str">
        <x:v>C3</x:v>
      </x:c>
      <x:c r="C88" s="30" t="str">
        <x:v>P5</x:v>
      </x:c>
      <x:c r="D88" s="30" t="str">
        <x:v>C3-A4</x:v>
      </x:c>
      <x:c r="E88" s="30" t="str">
        <x:v>Paola Andrea Ruiz Franco</x:v>
      </x:c>
      <x:c r="F88" s="30" t="str">
        <x:v>Coordinación técnica, integración y seguimiento</x:v>
      </x:c>
      <x:c r="G88" s="35" t="n">
        <x:v>0.11764705882352941</x:v>
      </x:c>
      <x:c r="H88" s="33" t="n">
        <x:f>INDEX(Actividades!$I$6:$I$104,MATCH(A88,Actividades!$A$6:$A$104,0))</x:f>
        <x:v>0.1275</x:v>
      </x:c>
      <x:c r="I88" s="33" t="n">
        <x:f>G88*H88</x:f>
        <x:v>0.015</x:v>
      </x:c>
      <x:c r="J88" s="35"/>
      <x:c r="K88" s="33" t="str">
        <x:f>IF(ISNUMBER(J88),G88*J88,"")</x:f>
      </x:c>
      <x:c r="L88" s="33" t="str">
        <x:f>IF(ISNUMBER(J88),I88*J88,"")</x:f>
      </x:c>
      <x:c r="M88" s="36"/>
      <x:c r="N88" s="37"/>
      <x:c r="O88" s="37"/>
      <x:c r="P88" s="30" t="n">
        <x:f>IF(ISNUMBER(J88),0,1)</x:f>
        <x:v>1</x:v>
      </x:c>
    </x:row>
    <x:row r="89" ht="54" customHeight="1">
      <x:c r="A89" s="30" t="str">
        <x:v>P5 / C3-A5</x:v>
      </x:c>
      <x:c r="B89" s="30" t="str">
        <x:v>C3</x:v>
      </x:c>
      <x:c r="C89" s="30" t="str">
        <x:v>P5</x:v>
      </x:c>
      <x:c r="D89" s="30" t="str">
        <x:v>C3-A5</x:v>
      </x:c>
      <x:c r="E89" s="30" t="str">
        <x:v>Marcos Arango Tamayo</x:v>
      </x:c>
      <x:c r="F89" s="30" t="str">
        <x:v>Elaboración técnica</x:v>
      </x:c>
      <x:c r="G89" s="35" t="n">
        <x:v>0.35294117647058826</x:v>
      </x:c>
      <x:c r="H89" s="33" t="n">
        <x:f>INDEX(Actividades!$I$6:$I$104,MATCH(A89,Actividades!$A$6:$A$104,0))</x:f>
        <x:v>0.17</x:v>
      </x:c>
      <x:c r="I89" s="33" t="n">
        <x:f>G89*H89</x:f>
        <x:v>0.06000000000000001</x:v>
      </x:c>
      <x:c r="J89" s="35"/>
      <x:c r="K89" s="33" t="str">
        <x:f>IF(ISNUMBER(J89),G89*J89,"")</x:f>
      </x:c>
      <x:c r="L89" s="33" t="str">
        <x:f>IF(ISNUMBER(J89),I89*J89,"")</x:f>
      </x:c>
      <x:c r="M89" s="36"/>
      <x:c r="N89" s="37"/>
      <x:c r="O89" s="37"/>
      <x:c r="P89" s="30" t="n">
        <x:f>IF(ISNUMBER(J89),0,1)</x:f>
        <x:v>1</x:v>
      </x:c>
    </x:row>
    <x:row r="90" ht="54" customHeight="1">
      <x:c r="A90" s="30" t="str">
        <x:v>P5 / C3-A5</x:v>
      </x:c>
      <x:c r="B90" s="30" t="str">
        <x:v>C3</x:v>
      </x:c>
      <x:c r="C90" s="30" t="str">
        <x:v>P5</x:v>
      </x:c>
      <x:c r="D90" s="30" t="str">
        <x:v>C3-A5</x:v>
      </x:c>
      <x:c r="E90" s="30" t="str">
        <x:v>Vanessa García Leoz</x:v>
      </x:c>
      <x:c r="F90" s="30" t="str">
        <x:v>Elaboración técnica</x:v>
      </x:c>
      <x:c r="G90" s="35" t="n">
        <x:v>0.35294117647058826</x:v>
      </x:c>
      <x:c r="H90" s="33" t="n">
        <x:f>INDEX(Actividades!$I$6:$I$104,MATCH(A90,Actividades!$A$6:$A$104,0))</x:f>
        <x:v>0.17</x:v>
      </x:c>
      <x:c r="I90" s="33" t="n">
        <x:f>G90*H90</x:f>
        <x:v>0.06000000000000001</x:v>
      </x:c>
      <x:c r="J90" s="35"/>
      <x:c r="K90" s="33" t="str">
        <x:f>IF(ISNUMBER(J90),G90*J90,"")</x:f>
      </x:c>
      <x:c r="L90" s="33" t="str">
        <x:f>IF(ISNUMBER(J90),I90*J90,"")</x:f>
      </x:c>
      <x:c r="M90" s="36"/>
      <x:c r="N90" s="37"/>
      <x:c r="O90" s="37"/>
      <x:c r="P90" s="30" t="n">
        <x:f>IF(ISNUMBER(J90),0,1)</x:f>
        <x:v>1</x:v>
      </x:c>
    </x:row>
    <x:row r="91" ht="54" customHeight="1">
      <x:c r="A91" s="30" t="str">
        <x:v>P5 / C3-A5</x:v>
      </x:c>
      <x:c r="B91" s="30" t="str">
        <x:v>C3</x:v>
      </x:c>
      <x:c r="C91" s="30" t="str">
        <x:v>P5</x:v>
      </x:c>
      <x:c r="D91" s="30" t="str">
        <x:v>C3-A5</x:v>
      </x:c>
      <x:c r="E91" s="30" t="str">
        <x:v>Jeiner de Jesús Castellanos Barliza</x:v>
      </x:c>
      <x:c r="F91" s="30" t="str">
        <x:v>Apoyo técnico</x:v>
      </x:c>
      <x:c r="G91" s="35" t="n">
        <x:v>0.17647058823529413</x:v>
      </x:c>
      <x:c r="H91" s="33" t="n">
        <x:f>INDEX(Actividades!$I$6:$I$104,MATCH(A91,Actividades!$A$6:$A$104,0))</x:f>
        <x:v>0.17</x:v>
      </x:c>
      <x:c r="I91" s="33" t="n">
        <x:f>G91*H91</x:f>
        <x:v>0.030000000000000006</x:v>
      </x:c>
      <x:c r="J91" s="35"/>
      <x:c r="K91" s="33" t="str">
        <x:f>IF(ISNUMBER(J91),G91*J91,"")</x:f>
      </x:c>
      <x:c r="L91" s="33" t="str">
        <x:f>IF(ISNUMBER(J91),I91*J91,"")</x:f>
      </x:c>
      <x:c r="M91" s="36"/>
      <x:c r="N91" s="37"/>
      <x:c r="O91" s="37"/>
      <x:c r="P91" s="30" t="n">
        <x:f>IF(ISNUMBER(J91),0,1)</x:f>
        <x:v>1</x:v>
      </x:c>
    </x:row>
    <x:row r="92" ht="54" customHeight="1">
      <x:c r="A92" s="30" t="str">
        <x:v>P5 / C3-A5</x:v>
      </x:c>
      <x:c r="B92" s="30" t="str">
        <x:v>C3</x:v>
      </x:c>
      <x:c r="C92" s="30" t="str">
        <x:v>P5</x:v>
      </x:c>
      <x:c r="D92" s="30" t="str">
        <x:v>C3-A5</x:v>
      </x:c>
      <x:c r="E92" s="30" t="str">
        <x:v>Paola Andrea Ruiz Franco</x:v>
      </x:c>
      <x:c r="F92" s="30" t="str">
        <x:v>Coordinación técnica, integración y seguimiento</x:v>
      </x:c>
      <x:c r="G92" s="35" t="n">
        <x:v>0.11764705882352941</x:v>
      </x:c>
      <x:c r="H92" s="33" t="n">
        <x:f>INDEX(Actividades!$I$6:$I$104,MATCH(A92,Actividades!$A$6:$A$104,0))</x:f>
        <x:v>0.17</x:v>
      </x:c>
      <x:c r="I92" s="33" t="n">
        <x:f>G92*H92</x:f>
        <x:v>0.02</x:v>
      </x:c>
      <x:c r="J92" s="35"/>
      <x:c r="K92" s="33" t="str">
        <x:f>IF(ISNUMBER(J92),G92*J92,"")</x:f>
      </x:c>
      <x:c r="L92" s="33" t="str">
        <x:f>IF(ISNUMBER(J92),I92*J92,"")</x:f>
      </x:c>
      <x:c r="M92" s="36"/>
      <x:c r="N92" s="37"/>
      <x:c r="O92" s="37"/>
      <x:c r="P92" s="30" t="n">
        <x:f>IF(ISNUMBER(J92),0,1)</x:f>
        <x:v>1</x:v>
      </x:c>
    </x:row>
    <x:row r="93" ht="54" customHeight="1">
      <x:c r="A93" s="30" t="str">
        <x:v>P5 / R01</x:v>
      </x:c>
      <x:c r="B93" s="30" t="str">
        <x:v>C3</x:v>
      </x:c>
      <x:c r="C93" s="30" t="str">
        <x:v>P5</x:v>
      </x:c>
      <x:c r="D93" s="30" t="str">
        <x:v>R01</x:v>
      </x:c>
      <x:c r="E93" s="30" t="str">
        <x:v>Guillermo Penagos</x:v>
      </x:c>
      <x:c r="F93" s="30" t="str">
        <x:v>Revisión técnica y cierre para envío a Secretaría</x:v>
      </x:c>
      <x:c r="G93" s="35" t="n">
        <x:v>0.5</x:v>
      </x:c>
      <x:c r="H93" s="33" t="n">
        <x:f>INDEX(Actividades!$I$6:$I$104,MATCH(A93,Actividades!$A$6:$A$104,0))</x:f>
        <x:v>0.1</x:v>
      </x:c>
      <x:c r="I93" s="33" t="n">
        <x:f>G93*H93</x:f>
        <x:v>0.05</x:v>
      </x:c>
      <x:c r="J93" s="35"/>
      <x:c r="K93" s="33" t="str">
        <x:f>IF(ISNUMBER(J93),G93*J93,"")</x:f>
      </x:c>
      <x:c r="L93" s="33" t="str">
        <x:f>IF(ISNUMBER(J93),I93*J93,"")</x:f>
      </x:c>
      <x:c r="M93" s="36"/>
      <x:c r="N93" s="37"/>
      <x:c r="O93" s="37"/>
      <x:c r="P93" s="30" t="n">
        <x:f>IF(ISNUMBER(J93),0,1)</x:f>
        <x:v>1</x:v>
      </x:c>
    </x:row>
    <x:row r="94" ht="54" customHeight="1">
      <x:c r="A94" s="30" t="str">
        <x:v>P5 / R01</x:v>
      </x:c>
      <x:c r="B94" s="30" t="str">
        <x:v>C3</x:v>
      </x:c>
      <x:c r="C94" s="30" t="str">
        <x:v>P5</x:v>
      </x:c>
      <x:c r="D94" s="30" t="str">
        <x:v>R01</x:v>
      </x:c>
      <x:c r="E94" s="30" t="str">
        <x:v>María José Suárez</x:v>
      </x:c>
      <x:c r="F94" s="30" t="str">
        <x:v>Revisión integral y cierre para envío a Secretaría</x:v>
      </x:c>
      <x:c r="G94" s="35" t="n">
        <x:v>0.5</x:v>
      </x:c>
      <x:c r="H94" s="33" t="n">
        <x:f>INDEX(Actividades!$I$6:$I$104,MATCH(A94,Actividades!$A$6:$A$104,0))</x:f>
        <x:v>0.1</x:v>
      </x:c>
      <x:c r="I94" s="33" t="n">
        <x:f>G94*H94</x:f>
        <x:v>0.05</x:v>
      </x:c>
      <x:c r="J94" s="35"/>
      <x:c r="K94" s="33" t="str">
        <x:f>IF(ISNUMBER(J94),G94*J94,"")</x:f>
      </x:c>
      <x:c r="L94" s="33" t="str">
        <x:f>IF(ISNUMBER(J94),I94*J94,"")</x:f>
      </x:c>
      <x:c r="M94" s="36"/>
      <x:c r="N94" s="37"/>
      <x:c r="O94" s="37"/>
      <x:c r="P94" s="30" t="n">
        <x:f>IF(ISNUMBER(J94),0,1)</x:f>
        <x:v>1</x:v>
      </x:c>
    </x:row>
    <x:row r="95" ht="54" customHeight="1">
      <x:c r="A95" s="30" t="str">
        <x:v>P5 / R02</x:v>
      </x:c>
      <x:c r="B95" s="30" t="str">
        <x:v>C3</x:v>
      </x:c>
      <x:c r="C95" s="30" t="str">
        <x:v>P5</x:v>
      </x:c>
      <x:c r="D95" s="30" t="str">
        <x:v>R02</x:v>
      </x:c>
      <x:c r="E95" s="30" t="str">
        <x:v>Juana — Secretaría de Medio Ambiente</x:v>
      </x:c>
      <x:c r="F95" s="30" t="str">
        <x:v>Validación y revisión final institucional</x:v>
      </x:c>
      <x:c r="G95" s="35" t="n">
        <x:v>1</x:v>
      </x:c>
      <x:c r="H95" s="33" t="n">
        <x:f>INDEX(Actividades!$I$6:$I$104,MATCH(A95,Actividades!$A$6:$A$104,0))</x:f>
        <x:v>0.05</x:v>
      </x:c>
      <x:c r="I95" s="33" t="n">
        <x:f>G95*H95</x:f>
        <x:v>0.05</x:v>
      </x:c>
      <x:c r="J95" s="35"/>
      <x:c r="K95" s="33" t="str">
        <x:f>IF(ISNUMBER(J95),G95*J95,"")</x:f>
      </x:c>
      <x:c r="L95" s="33" t="str">
        <x:f>IF(ISNUMBER(J95),I95*J95,"")</x:f>
      </x:c>
      <x:c r="M95" s="36"/>
      <x:c r="N95" s="37"/>
      <x:c r="O95" s="37"/>
      <x:c r="P95" s="30" t="n">
        <x:f>IF(ISNUMBER(J95),0,1)</x:f>
        <x:v>1</x:v>
      </x:c>
    </x:row>
    <x:row r="96" ht="54" customHeight="1">
      <x:c r="A96" s="30" t="str">
        <x:v>P6 / C3-A1</x:v>
      </x:c>
      <x:c r="B96" s="30" t="str">
        <x:v>C3</x:v>
      </x:c>
      <x:c r="C96" s="30" t="str">
        <x:v>P6</x:v>
      </x:c>
      <x:c r="D96" s="30" t="str">
        <x:v>C3-A1</x:v>
      </x:c>
      <x:c r="E96" s="30" t="str">
        <x:v>Marcos Arango Tamayo</x:v>
      </x:c>
      <x:c r="F96" s="30" t="str">
        <x:v>Elaboración técnica</x:v>
      </x:c>
      <x:c r="G96" s="35" t="n">
        <x:v>0.35294117647058826</x:v>
      </x:c>
      <x:c r="H96" s="33" t="n">
        <x:f>INDEX(Actividades!$I$6:$I$104,MATCH(A96,Actividades!$A$6:$A$104,0))</x:f>
        <x:v>0.085</x:v>
      </x:c>
      <x:c r="I96" s="33" t="n">
        <x:f>G96*H96</x:f>
        <x:v>0.030000000000000006</x:v>
      </x:c>
      <x:c r="J96" s="35"/>
      <x:c r="K96" s="33" t="str">
        <x:f>IF(ISNUMBER(J96),G96*J96,"")</x:f>
      </x:c>
      <x:c r="L96" s="33" t="str">
        <x:f>IF(ISNUMBER(J96),I96*J96,"")</x:f>
      </x:c>
      <x:c r="M96" s="36"/>
      <x:c r="N96" s="37"/>
      <x:c r="O96" s="37"/>
      <x:c r="P96" s="30" t="n">
        <x:f>IF(ISNUMBER(J96),0,1)</x:f>
        <x:v>1</x:v>
      </x:c>
    </x:row>
    <x:row r="97" ht="54" customHeight="1">
      <x:c r="A97" s="30" t="str">
        <x:v>P6 / C3-A1</x:v>
      </x:c>
      <x:c r="B97" s="30" t="str">
        <x:v>C3</x:v>
      </x:c>
      <x:c r="C97" s="30" t="str">
        <x:v>P6</x:v>
      </x:c>
      <x:c r="D97" s="30" t="str">
        <x:v>C3-A1</x:v>
      </x:c>
      <x:c r="E97" s="30" t="str">
        <x:v>Juliana Valencia</x:v>
      </x:c>
      <x:c r="F97" s="30" t="str">
        <x:v>Apoyo técnico</x:v>
      </x:c>
      <x:c r="G97" s="35" t="n">
        <x:v>0.17647058823529413</x:v>
      </x:c>
      <x:c r="H97" s="33" t="n">
        <x:f>INDEX(Actividades!$I$6:$I$104,MATCH(A97,Actividades!$A$6:$A$104,0))</x:f>
        <x:v>0.085</x:v>
      </x:c>
      <x:c r="I97" s="33" t="n">
        <x:f>G97*H97</x:f>
        <x:v>0.015000000000000003</x:v>
      </x:c>
      <x:c r="J97" s="35"/>
      <x:c r="K97" s="33" t="str">
        <x:f>IF(ISNUMBER(J97),G97*J97,"")</x:f>
      </x:c>
      <x:c r="L97" s="33" t="str">
        <x:f>IF(ISNUMBER(J97),I97*J97,"")</x:f>
      </x:c>
      <x:c r="M97" s="36"/>
      <x:c r="N97" s="37"/>
      <x:c r="O97" s="37"/>
      <x:c r="P97" s="30" t="n">
        <x:f>IF(ISNUMBER(J97),0,1)</x:f>
        <x:v>1</x:v>
      </x:c>
    </x:row>
    <x:row r="98" ht="54" customHeight="1">
      <x:c r="A98" s="30" t="str">
        <x:v>P6 / C3-A1</x:v>
      </x:c>
      <x:c r="B98" s="30" t="str">
        <x:v>C3</x:v>
      </x:c>
      <x:c r="C98" s="30" t="str">
        <x:v>P6</x:v>
      </x:c>
      <x:c r="D98" s="30" t="str">
        <x:v>C3-A1</x:v>
      </x:c>
      <x:c r="E98" s="30" t="str">
        <x:v>Jeiner de Jesús Castellanos Barliza</x:v>
      </x:c>
      <x:c r="F98" s="30" t="str">
        <x:v>Apoyo técnico</x:v>
      </x:c>
      <x:c r="G98" s="35" t="n">
        <x:v>0.17647058823529413</x:v>
      </x:c>
      <x:c r="H98" s="33" t="n">
        <x:f>INDEX(Actividades!$I$6:$I$104,MATCH(A98,Actividades!$A$6:$A$104,0))</x:f>
        <x:v>0.085</x:v>
      </x:c>
      <x:c r="I98" s="33" t="n">
        <x:f>G98*H98</x:f>
        <x:v>0.015000000000000003</x:v>
      </x:c>
      <x:c r="J98" s="35"/>
      <x:c r="K98" s="33" t="str">
        <x:f>IF(ISNUMBER(J98),G98*J98,"")</x:f>
      </x:c>
      <x:c r="L98" s="33" t="str">
        <x:f>IF(ISNUMBER(J98),I98*J98,"")</x:f>
      </x:c>
      <x:c r="M98" s="36"/>
      <x:c r="N98" s="37"/>
      <x:c r="O98" s="37"/>
      <x:c r="P98" s="30" t="n">
        <x:f>IF(ISNUMBER(J98),0,1)</x:f>
        <x:v>1</x:v>
      </x:c>
    </x:row>
    <x:row r="99" ht="54" customHeight="1">
      <x:c r="A99" s="30" t="str">
        <x:v>P6 / C3-A1</x:v>
      </x:c>
      <x:c r="B99" s="30" t="str">
        <x:v>C3</x:v>
      </x:c>
      <x:c r="C99" s="30" t="str">
        <x:v>P6</x:v>
      </x:c>
      <x:c r="D99" s="30" t="str">
        <x:v>C3-A1</x:v>
      </x:c>
      <x:c r="E99" s="30" t="str">
        <x:v>Vanessa García Leoz</x:v>
      </x:c>
      <x:c r="F99" s="30" t="str">
        <x:v>Apoyo técnico</x:v>
      </x:c>
      <x:c r="G99" s="35" t="n">
        <x:v>0.17647058823529413</x:v>
      </x:c>
      <x:c r="H99" s="33" t="n">
        <x:f>INDEX(Actividades!$I$6:$I$104,MATCH(A99,Actividades!$A$6:$A$104,0))</x:f>
        <x:v>0.085</x:v>
      </x:c>
      <x:c r="I99" s="33" t="n">
        <x:f>G99*H99</x:f>
        <x:v>0.015000000000000003</x:v>
      </x:c>
      <x:c r="J99" s="35"/>
      <x:c r="K99" s="33" t="str">
        <x:f>IF(ISNUMBER(J99),G99*J99,"")</x:f>
      </x:c>
      <x:c r="L99" s="33" t="str">
        <x:f>IF(ISNUMBER(J99),I99*J99,"")</x:f>
      </x:c>
      <x:c r="M99" s="36"/>
      <x:c r="N99" s="37"/>
      <x:c r="O99" s="37"/>
      <x:c r="P99" s="30" t="n">
        <x:f>IF(ISNUMBER(J99),0,1)</x:f>
        <x:v>1</x:v>
      </x:c>
    </x:row>
    <x:row r="100" ht="54" customHeight="1">
      <x:c r="A100" s="30" t="str">
        <x:v>P6 / C3-A1</x:v>
      </x:c>
      <x:c r="B100" s="30" t="str">
        <x:v>C3</x:v>
      </x:c>
      <x:c r="C100" s="30" t="str">
        <x:v>P6</x:v>
      </x:c>
      <x:c r="D100" s="30" t="str">
        <x:v>C3-A1</x:v>
      </x:c>
      <x:c r="E100" s="30" t="str">
        <x:v>Paola Andrea Ruiz Franco</x:v>
      </x:c>
      <x:c r="F100" s="30" t="str">
        <x:v>Coordinación técnica, integración y seguimiento</x:v>
      </x:c>
      <x:c r="G100" s="35" t="n">
        <x:v>0.11764705882352941</x:v>
      </x:c>
      <x:c r="H100" s="33" t="n">
        <x:f>INDEX(Actividades!$I$6:$I$104,MATCH(A100,Actividades!$A$6:$A$104,0))</x:f>
        <x:v>0.085</x:v>
      </x:c>
      <x:c r="I100" s="33" t="n">
        <x:f>G100*H100</x:f>
        <x:v>0.01</x:v>
      </x:c>
      <x:c r="J100" s="35"/>
      <x:c r="K100" s="33" t="str">
        <x:f>IF(ISNUMBER(J100),G100*J100,"")</x:f>
      </x:c>
      <x:c r="L100" s="33" t="str">
        <x:f>IF(ISNUMBER(J100),I100*J100,"")</x:f>
      </x:c>
      <x:c r="M100" s="36"/>
      <x:c r="N100" s="37"/>
      <x:c r="O100" s="37"/>
      <x:c r="P100" s="30" t="n">
        <x:f>IF(ISNUMBER(J100),0,1)</x:f>
        <x:v>1</x:v>
      </x:c>
    </x:row>
    <x:row r="101" ht="54" customHeight="1">
      <x:c r="A101" s="30" t="str">
        <x:v>P6 / C3-A2</x:v>
      </x:c>
      <x:c r="B101" s="30" t="str">
        <x:v>C3</x:v>
      </x:c>
      <x:c r="C101" s="30" t="str">
        <x:v>P6</x:v>
      </x:c>
      <x:c r="D101" s="30" t="str">
        <x:v>C3-A2</x:v>
      </x:c>
      <x:c r="E101" s="30" t="str">
        <x:v>Marcos Arango Tamayo</x:v>
      </x:c>
      <x:c r="F101" s="30" t="str">
        <x:v>Elaboración técnica</x:v>
      </x:c>
      <x:c r="G101" s="35" t="n">
        <x:v>0.35294117647058826</x:v>
      </x:c>
      <x:c r="H101" s="33" t="n">
        <x:f>INDEX(Actividades!$I$6:$I$104,MATCH(A101,Actividades!$A$6:$A$104,0))</x:f>
        <x:v>0.1275</x:v>
      </x:c>
      <x:c r="I101" s="33" t="n">
        <x:f>G101*H101</x:f>
        <x:v>0.045000000000000005</x:v>
      </x:c>
      <x:c r="J101" s="35"/>
      <x:c r="K101" s="33" t="str">
        <x:f>IF(ISNUMBER(J101),G101*J101,"")</x:f>
      </x:c>
      <x:c r="L101" s="33" t="str">
        <x:f>IF(ISNUMBER(J101),I101*J101,"")</x:f>
      </x:c>
      <x:c r="M101" s="36"/>
      <x:c r="N101" s="37"/>
      <x:c r="O101" s="37"/>
      <x:c r="P101" s="30" t="n">
        <x:f>IF(ISNUMBER(J101),0,1)</x:f>
        <x:v>1</x:v>
      </x:c>
    </x:row>
    <x:row r="102" ht="54" customHeight="1">
      <x:c r="A102" s="30" t="str">
        <x:v>P6 / C3-A2</x:v>
      </x:c>
      <x:c r="B102" s="30" t="str">
        <x:v>C3</x:v>
      </x:c>
      <x:c r="C102" s="30" t="str">
        <x:v>P6</x:v>
      </x:c>
      <x:c r="D102" s="30" t="str">
        <x:v>C3-A2</x:v>
      </x:c>
      <x:c r="E102" s="30" t="str">
        <x:v>Juliana Valencia</x:v>
      </x:c>
      <x:c r="F102" s="30" t="str">
        <x:v>Apoyo técnico</x:v>
      </x:c>
      <x:c r="G102" s="35" t="n">
        <x:v>0.17647058823529413</x:v>
      </x:c>
      <x:c r="H102" s="33" t="n">
        <x:f>INDEX(Actividades!$I$6:$I$104,MATCH(A102,Actividades!$A$6:$A$104,0))</x:f>
        <x:v>0.1275</x:v>
      </x:c>
      <x:c r="I102" s="33" t="n">
        <x:f>G102*H102</x:f>
        <x:v>0.022500000000000003</x:v>
      </x:c>
      <x:c r="J102" s="35"/>
      <x:c r="K102" s="33" t="str">
        <x:f>IF(ISNUMBER(J102),G102*J102,"")</x:f>
      </x:c>
      <x:c r="L102" s="33" t="str">
        <x:f>IF(ISNUMBER(J102),I102*J102,"")</x:f>
      </x:c>
      <x:c r="M102" s="36"/>
      <x:c r="N102" s="37"/>
      <x:c r="O102" s="37"/>
      <x:c r="P102" s="30" t="n">
        <x:f>IF(ISNUMBER(J102),0,1)</x:f>
        <x:v>1</x:v>
      </x:c>
    </x:row>
    <x:row r="103" ht="54" customHeight="1">
      <x:c r="A103" s="30" t="str">
        <x:v>P6 / C3-A2</x:v>
      </x:c>
      <x:c r="B103" s="30" t="str">
        <x:v>C3</x:v>
      </x:c>
      <x:c r="C103" s="30" t="str">
        <x:v>P6</x:v>
      </x:c>
      <x:c r="D103" s="30" t="str">
        <x:v>C3-A2</x:v>
      </x:c>
      <x:c r="E103" s="30" t="str">
        <x:v>Jeiner de Jesús Castellanos Barliza</x:v>
      </x:c>
      <x:c r="F103" s="30" t="str">
        <x:v>Apoyo técnico</x:v>
      </x:c>
      <x:c r="G103" s="35" t="n">
        <x:v>0.17647058823529413</x:v>
      </x:c>
      <x:c r="H103" s="33" t="n">
        <x:f>INDEX(Actividades!$I$6:$I$104,MATCH(A103,Actividades!$A$6:$A$104,0))</x:f>
        <x:v>0.1275</x:v>
      </x:c>
      <x:c r="I103" s="33" t="n">
        <x:f>G103*H103</x:f>
        <x:v>0.022500000000000003</x:v>
      </x:c>
      <x:c r="J103" s="35"/>
      <x:c r="K103" s="33" t="str">
        <x:f>IF(ISNUMBER(J103),G103*J103,"")</x:f>
      </x:c>
      <x:c r="L103" s="33" t="str">
        <x:f>IF(ISNUMBER(J103),I103*J103,"")</x:f>
      </x:c>
      <x:c r="M103" s="36"/>
      <x:c r="N103" s="37"/>
      <x:c r="O103" s="37"/>
      <x:c r="P103" s="30" t="n">
        <x:f>IF(ISNUMBER(J103),0,1)</x:f>
        <x:v>1</x:v>
      </x:c>
    </x:row>
    <x:row r="104" ht="54" customHeight="1">
      <x:c r="A104" s="30" t="str">
        <x:v>P6 / C3-A2</x:v>
      </x:c>
      <x:c r="B104" s="30" t="str">
        <x:v>C3</x:v>
      </x:c>
      <x:c r="C104" s="30" t="str">
        <x:v>P6</x:v>
      </x:c>
      <x:c r="D104" s="30" t="str">
        <x:v>C3-A2</x:v>
      </x:c>
      <x:c r="E104" s="30" t="str">
        <x:v>Vanessa García Leoz</x:v>
      </x:c>
      <x:c r="F104" s="30" t="str">
        <x:v>Apoyo técnico</x:v>
      </x:c>
      <x:c r="G104" s="35" t="n">
        <x:v>0.17647058823529413</x:v>
      </x:c>
      <x:c r="H104" s="33" t="n">
        <x:f>INDEX(Actividades!$I$6:$I$104,MATCH(A104,Actividades!$A$6:$A$104,0))</x:f>
        <x:v>0.1275</x:v>
      </x:c>
      <x:c r="I104" s="33" t="n">
        <x:f>G104*H104</x:f>
        <x:v>0.022500000000000003</x:v>
      </x:c>
      <x:c r="J104" s="35"/>
      <x:c r="K104" s="33" t="str">
        <x:f>IF(ISNUMBER(J104),G104*J104,"")</x:f>
      </x:c>
      <x:c r="L104" s="33" t="str">
        <x:f>IF(ISNUMBER(J104),I104*J104,"")</x:f>
      </x:c>
      <x:c r="M104" s="36"/>
      <x:c r="N104" s="37"/>
      <x:c r="O104" s="37"/>
      <x:c r="P104" s="30" t="n">
        <x:f>IF(ISNUMBER(J104),0,1)</x:f>
        <x:v>1</x:v>
      </x:c>
    </x:row>
    <x:row r="105" ht="54" customHeight="1">
      <x:c r="A105" s="30" t="str">
        <x:v>P6 / C3-A2</x:v>
      </x:c>
      <x:c r="B105" s="30" t="str">
        <x:v>C3</x:v>
      </x:c>
      <x:c r="C105" s="30" t="str">
        <x:v>P6</x:v>
      </x:c>
      <x:c r="D105" s="30" t="str">
        <x:v>C3-A2</x:v>
      </x:c>
      <x:c r="E105" s="30" t="str">
        <x:v>Paola Andrea Ruiz Franco</x:v>
      </x:c>
      <x:c r="F105" s="30" t="str">
        <x:v>Coordinación técnica, integración y seguimiento</x:v>
      </x:c>
      <x:c r="G105" s="35" t="n">
        <x:v>0.11764705882352941</x:v>
      </x:c>
      <x:c r="H105" s="33" t="n">
        <x:f>INDEX(Actividades!$I$6:$I$104,MATCH(A105,Actividades!$A$6:$A$104,0))</x:f>
        <x:v>0.1275</x:v>
      </x:c>
      <x:c r="I105" s="33" t="n">
        <x:f>G105*H105</x:f>
        <x:v>0.015</x:v>
      </x:c>
      <x:c r="J105" s="35"/>
      <x:c r="K105" s="33" t="str">
        <x:f>IF(ISNUMBER(J105),G105*J105,"")</x:f>
      </x:c>
      <x:c r="L105" s="33" t="str">
        <x:f>IF(ISNUMBER(J105),I105*J105,"")</x:f>
      </x:c>
      <x:c r="M105" s="36"/>
      <x:c r="N105" s="37"/>
      <x:c r="O105" s="37"/>
      <x:c r="P105" s="30" t="n">
        <x:f>IF(ISNUMBER(J105),0,1)</x:f>
        <x:v>1</x:v>
      </x:c>
    </x:row>
    <x:row r="106" ht="54" customHeight="1">
      <x:c r="A106" s="30" t="str">
        <x:v>P6 / C3-A3</x:v>
      </x:c>
      <x:c r="B106" s="30" t="str">
        <x:v>C3</x:v>
      </x:c>
      <x:c r="C106" s="30" t="str">
        <x:v>P6</x:v>
      </x:c>
      <x:c r="D106" s="30" t="str">
        <x:v>C3-A3</x:v>
      </x:c>
      <x:c r="E106" s="30" t="str">
        <x:v>Marcos Arango Tamayo</x:v>
      </x:c>
      <x:c r="F106" s="30" t="str">
        <x:v>Elaboración técnica</x:v>
      </x:c>
      <x:c r="G106" s="35" t="n">
        <x:v>0.35294117647058826</x:v>
      </x:c>
      <x:c r="H106" s="33" t="n">
        <x:f>INDEX(Actividades!$I$6:$I$104,MATCH(A106,Actividades!$A$6:$A$104,0))</x:f>
        <x:v>0.1275</x:v>
      </x:c>
      <x:c r="I106" s="33" t="n">
        <x:f>G106*H106</x:f>
        <x:v>0.045000000000000005</x:v>
      </x:c>
      <x:c r="J106" s="35"/>
      <x:c r="K106" s="33" t="str">
        <x:f>IF(ISNUMBER(J106),G106*J106,"")</x:f>
      </x:c>
      <x:c r="L106" s="33" t="str">
        <x:f>IF(ISNUMBER(J106),I106*J106,"")</x:f>
      </x:c>
      <x:c r="M106" s="36"/>
      <x:c r="N106" s="37"/>
      <x:c r="O106" s="37"/>
      <x:c r="P106" s="30" t="n">
        <x:f>IF(ISNUMBER(J106),0,1)</x:f>
        <x:v>1</x:v>
      </x:c>
    </x:row>
    <x:row r="107" ht="54" customHeight="1">
      <x:c r="A107" s="30" t="str">
        <x:v>P6 / C3-A3</x:v>
      </x:c>
      <x:c r="B107" s="30" t="str">
        <x:v>C3</x:v>
      </x:c>
      <x:c r="C107" s="30" t="str">
        <x:v>P6</x:v>
      </x:c>
      <x:c r="D107" s="30" t="str">
        <x:v>C3-A3</x:v>
      </x:c>
      <x:c r="E107" s="30" t="str">
        <x:v>Juliana Valencia</x:v>
      </x:c>
      <x:c r="F107" s="30" t="str">
        <x:v>Apoyo técnico</x:v>
      </x:c>
      <x:c r="G107" s="35" t="n">
        <x:v>0.17647058823529413</x:v>
      </x:c>
      <x:c r="H107" s="33" t="n">
        <x:f>INDEX(Actividades!$I$6:$I$104,MATCH(A107,Actividades!$A$6:$A$104,0))</x:f>
        <x:v>0.1275</x:v>
      </x:c>
      <x:c r="I107" s="33" t="n">
        <x:f>G107*H107</x:f>
        <x:v>0.022500000000000003</x:v>
      </x:c>
      <x:c r="J107" s="35"/>
      <x:c r="K107" s="33" t="str">
        <x:f>IF(ISNUMBER(J107),G107*J107,"")</x:f>
      </x:c>
      <x:c r="L107" s="33" t="str">
        <x:f>IF(ISNUMBER(J107),I107*J107,"")</x:f>
      </x:c>
      <x:c r="M107" s="36"/>
      <x:c r="N107" s="37"/>
      <x:c r="O107" s="37"/>
      <x:c r="P107" s="30" t="n">
        <x:f>IF(ISNUMBER(J107),0,1)</x:f>
        <x:v>1</x:v>
      </x:c>
    </x:row>
    <x:row r="108" ht="54" customHeight="1">
      <x:c r="A108" s="30" t="str">
        <x:v>P6 / C3-A3</x:v>
      </x:c>
      <x:c r="B108" s="30" t="str">
        <x:v>C3</x:v>
      </x:c>
      <x:c r="C108" s="30" t="str">
        <x:v>P6</x:v>
      </x:c>
      <x:c r="D108" s="30" t="str">
        <x:v>C3-A3</x:v>
      </x:c>
      <x:c r="E108" s="30" t="str">
        <x:v>Jeiner de Jesús Castellanos Barliza</x:v>
      </x:c>
      <x:c r="F108" s="30" t="str">
        <x:v>Apoyo técnico</x:v>
      </x:c>
      <x:c r="G108" s="35" t="n">
        <x:v>0.17647058823529413</x:v>
      </x:c>
      <x:c r="H108" s="33" t="n">
        <x:f>INDEX(Actividades!$I$6:$I$104,MATCH(A108,Actividades!$A$6:$A$104,0))</x:f>
        <x:v>0.1275</x:v>
      </x:c>
      <x:c r="I108" s="33" t="n">
        <x:f>G108*H108</x:f>
        <x:v>0.022500000000000003</x:v>
      </x:c>
      <x:c r="J108" s="35"/>
      <x:c r="K108" s="33" t="str">
        <x:f>IF(ISNUMBER(J108),G108*J108,"")</x:f>
      </x:c>
      <x:c r="L108" s="33" t="str">
        <x:f>IF(ISNUMBER(J108),I108*J108,"")</x:f>
      </x:c>
      <x:c r="M108" s="36"/>
      <x:c r="N108" s="37"/>
      <x:c r="O108" s="37"/>
      <x:c r="P108" s="30" t="n">
        <x:f>IF(ISNUMBER(J108),0,1)</x:f>
        <x:v>1</x:v>
      </x:c>
    </x:row>
    <x:row r="109" ht="54" customHeight="1">
      <x:c r="A109" s="30" t="str">
        <x:v>P6 / C3-A3</x:v>
      </x:c>
      <x:c r="B109" s="30" t="str">
        <x:v>C3</x:v>
      </x:c>
      <x:c r="C109" s="30" t="str">
        <x:v>P6</x:v>
      </x:c>
      <x:c r="D109" s="30" t="str">
        <x:v>C3-A3</x:v>
      </x:c>
      <x:c r="E109" s="30" t="str">
        <x:v>Vanessa García Leoz</x:v>
      </x:c>
      <x:c r="F109" s="30" t="str">
        <x:v>Apoyo técnico</x:v>
      </x:c>
      <x:c r="G109" s="35" t="n">
        <x:v>0.17647058823529413</x:v>
      </x:c>
      <x:c r="H109" s="33" t="n">
        <x:f>INDEX(Actividades!$I$6:$I$104,MATCH(A109,Actividades!$A$6:$A$104,0))</x:f>
        <x:v>0.1275</x:v>
      </x:c>
      <x:c r="I109" s="33" t="n">
        <x:f>G109*H109</x:f>
        <x:v>0.022500000000000003</x:v>
      </x:c>
      <x:c r="J109" s="35"/>
      <x:c r="K109" s="33" t="str">
        <x:f>IF(ISNUMBER(J109),G109*J109,"")</x:f>
      </x:c>
      <x:c r="L109" s="33" t="str">
        <x:f>IF(ISNUMBER(J109),I109*J109,"")</x:f>
      </x:c>
      <x:c r="M109" s="36"/>
      <x:c r="N109" s="37"/>
      <x:c r="O109" s="37"/>
      <x:c r="P109" s="30" t="n">
        <x:f>IF(ISNUMBER(J109),0,1)</x:f>
        <x:v>1</x:v>
      </x:c>
    </x:row>
    <x:row r="110" ht="54" customHeight="1">
      <x:c r="A110" s="30" t="str">
        <x:v>P6 / C3-A3</x:v>
      </x:c>
      <x:c r="B110" s="30" t="str">
        <x:v>C3</x:v>
      </x:c>
      <x:c r="C110" s="30" t="str">
        <x:v>P6</x:v>
      </x:c>
      <x:c r="D110" s="30" t="str">
        <x:v>C3-A3</x:v>
      </x:c>
      <x:c r="E110" s="30" t="str">
        <x:v>Paola Andrea Ruiz Franco</x:v>
      </x:c>
      <x:c r="F110" s="30" t="str">
        <x:v>Coordinación técnica, integración y seguimiento</x:v>
      </x:c>
      <x:c r="G110" s="35" t="n">
        <x:v>0.11764705882352941</x:v>
      </x:c>
      <x:c r="H110" s="33" t="n">
        <x:f>INDEX(Actividades!$I$6:$I$104,MATCH(A110,Actividades!$A$6:$A$104,0))</x:f>
        <x:v>0.1275</x:v>
      </x:c>
      <x:c r="I110" s="33" t="n">
        <x:f>G110*H110</x:f>
        <x:v>0.015</x:v>
      </x:c>
      <x:c r="J110" s="35"/>
      <x:c r="K110" s="33" t="str">
        <x:f>IF(ISNUMBER(J110),G110*J110,"")</x:f>
      </x:c>
      <x:c r="L110" s="33" t="str">
        <x:f>IF(ISNUMBER(J110),I110*J110,"")</x:f>
      </x:c>
      <x:c r="M110" s="36"/>
      <x:c r="N110" s="37"/>
      <x:c r="O110" s="37"/>
      <x:c r="P110" s="30" t="n">
        <x:f>IF(ISNUMBER(J110),0,1)</x:f>
        <x:v>1</x:v>
      </x:c>
    </x:row>
    <x:row r="111" ht="54" customHeight="1">
      <x:c r="A111" s="30" t="str">
        <x:v>P6 / C3-A4</x:v>
      </x:c>
      <x:c r="B111" s="30" t="str">
        <x:v>C3</x:v>
      </x:c>
      <x:c r="C111" s="30" t="str">
        <x:v>P6</x:v>
      </x:c>
      <x:c r="D111" s="30" t="str">
        <x:v>C3-A4</x:v>
      </x:c>
      <x:c r="E111" s="30" t="str">
        <x:v>Marcos Arango Tamayo</x:v>
      </x:c>
      <x:c r="F111" s="30" t="str">
        <x:v>Elaboración técnica</x:v>
      </x:c>
      <x:c r="G111" s="35" t="n">
        <x:v>0.35294117647058826</x:v>
      </x:c>
      <x:c r="H111" s="33" t="n">
        <x:f>INDEX(Actividades!$I$6:$I$104,MATCH(A111,Actividades!$A$6:$A$104,0))</x:f>
        <x:v>0.1275</x:v>
      </x:c>
      <x:c r="I111" s="33" t="n">
        <x:f>G111*H111</x:f>
        <x:v>0.045000000000000005</x:v>
      </x:c>
      <x:c r="J111" s="35"/>
      <x:c r="K111" s="33" t="str">
        <x:f>IF(ISNUMBER(J111),G111*J111,"")</x:f>
      </x:c>
      <x:c r="L111" s="33" t="str">
        <x:f>IF(ISNUMBER(J111),I111*J111,"")</x:f>
      </x:c>
      <x:c r="M111" s="36"/>
      <x:c r="N111" s="37"/>
      <x:c r="O111" s="37"/>
      <x:c r="P111" s="30" t="n">
        <x:f>IF(ISNUMBER(J111),0,1)</x:f>
        <x:v>1</x:v>
      </x:c>
    </x:row>
    <x:row r="112" ht="54" customHeight="1">
      <x:c r="A112" s="30" t="str">
        <x:v>P6 / C3-A4</x:v>
      </x:c>
      <x:c r="B112" s="30" t="str">
        <x:v>C3</x:v>
      </x:c>
      <x:c r="C112" s="30" t="str">
        <x:v>P6</x:v>
      </x:c>
      <x:c r="D112" s="30" t="str">
        <x:v>C3-A4</x:v>
      </x:c>
      <x:c r="E112" s="30" t="str">
        <x:v>Juliana Valencia</x:v>
      </x:c>
      <x:c r="F112" s="30" t="str">
        <x:v>Apoyo técnico</x:v>
      </x:c>
      <x:c r="G112" s="35" t="n">
        <x:v>0.17647058823529413</x:v>
      </x:c>
      <x:c r="H112" s="33" t="n">
        <x:f>INDEX(Actividades!$I$6:$I$104,MATCH(A112,Actividades!$A$6:$A$104,0))</x:f>
        <x:v>0.1275</x:v>
      </x:c>
      <x:c r="I112" s="33" t="n">
        <x:f>G112*H112</x:f>
        <x:v>0.022500000000000003</x:v>
      </x:c>
      <x:c r="J112" s="35"/>
      <x:c r="K112" s="33" t="str">
        <x:f>IF(ISNUMBER(J112),G112*J112,"")</x:f>
      </x:c>
      <x:c r="L112" s="33" t="str">
        <x:f>IF(ISNUMBER(J112),I112*J112,"")</x:f>
      </x:c>
      <x:c r="M112" s="36"/>
      <x:c r="N112" s="37"/>
      <x:c r="O112" s="37"/>
      <x:c r="P112" s="30" t="n">
        <x:f>IF(ISNUMBER(J112),0,1)</x:f>
        <x:v>1</x:v>
      </x:c>
    </x:row>
    <x:row r="113" ht="54" customHeight="1">
      <x:c r="A113" s="30" t="str">
        <x:v>P6 / C3-A4</x:v>
      </x:c>
      <x:c r="B113" s="30" t="str">
        <x:v>C3</x:v>
      </x:c>
      <x:c r="C113" s="30" t="str">
        <x:v>P6</x:v>
      </x:c>
      <x:c r="D113" s="30" t="str">
        <x:v>C3-A4</x:v>
      </x:c>
      <x:c r="E113" s="30" t="str">
        <x:v>Jeiner de Jesús Castellanos Barliza</x:v>
      </x:c>
      <x:c r="F113" s="30" t="str">
        <x:v>Apoyo técnico</x:v>
      </x:c>
      <x:c r="G113" s="35" t="n">
        <x:v>0.17647058823529413</x:v>
      </x:c>
      <x:c r="H113" s="33" t="n">
        <x:f>INDEX(Actividades!$I$6:$I$104,MATCH(A113,Actividades!$A$6:$A$104,0))</x:f>
        <x:v>0.1275</x:v>
      </x:c>
      <x:c r="I113" s="33" t="n">
        <x:f>G113*H113</x:f>
        <x:v>0.022500000000000003</x:v>
      </x:c>
      <x:c r="J113" s="35"/>
      <x:c r="K113" s="33" t="str">
        <x:f>IF(ISNUMBER(J113),G113*J113,"")</x:f>
      </x:c>
      <x:c r="L113" s="33" t="str">
        <x:f>IF(ISNUMBER(J113),I113*J113,"")</x:f>
      </x:c>
      <x:c r="M113" s="36"/>
      <x:c r="N113" s="37"/>
      <x:c r="O113" s="37"/>
      <x:c r="P113" s="30" t="n">
        <x:f>IF(ISNUMBER(J113),0,1)</x:f>
        <x:v>1</x:v>
      </x:c>
    </x:row>
    <x:row r="114" ht="54" customHeight="1">
      <x:c r="A114" s="30" t="str">
        <x:v>P6 / C3-A4</x:v>
      </x:c>
      <x:c r="B114" s="30" t="str">
        <x:v>C3</x:v>
      </x:c>
      <x:c r="C114" s="30" t="str">
        <x:v>P6</x:v>
      </x:c>
      <x:c r="D114" s="30" t="str">
        <x:v>C3-A4</x:v>
      </x:c>
      <x:c r="E114" s="30" t="str">
        <x:v>Vanessa García Leoz</x:v>
      </x:c>
      <x:c r="F114" s="30" t="str">
        <x:v>Apoyo técnico</x:v>
      </x:c>
      <x:c r="G114" s="35" t="n">
        <x:v>0.17647058823529413</x:v>
      </x:c>
      <x:c r="H114" s="33" t="n">
        <x:f>INDEX(Actividades!$I$6:$I$104,MATCH(A114,Actividades!$A$6:$A$104,0))</x:f>
        <x:v>0.1275</x:v>
      </x:c>
      <x:c r="I114" s="33" t="n">
        <x:f>G114*H114</x:f>
        <x:v>0.022500000000000003</x:v>
      </x:c>
      <x:c r="J114" s="35"/>
      <x:c r="K114" s="33" t="str">
        <x:f>IF(ISNUMBER(J114),G114*J114,"")</x:f>
      </x:c>
      <x:c r="L114" s="33" t="str">
        <x:f>IF(ISNUMBER(J114),I114*J114,"")</x:f>
      </x:c>
      <x:c r="M114" s="36"/>
      <x:c r="N114" s="37"/>
      <x:c r="O114" s="37"/>
      <x:c r="P114" s="30" t="n">
        <x:f>IF(ISNUMBER(J114),0,1)</x:f>
        <x:v>1</x:v>
      </x:c>
    </x:row>
    <x:row r="115" ht="54" customHeight="1">
      <x:c r="A115" s="30" t="str">
        <x:v>P6 / C3-A4</x:v>
      </x:c>
      <x:c r="B115" s="30" t="str">
        <x:v>C3</x:v>
      </x:c>
      <x:c r="C115" s="30" t="str">
        <x:v>P6</x:v>
      </x:c>
      <x:c r="D115" s="30" t="str">
        <x:v>C3-A4</x:v>
      </x:c>
      <x:c r="E115" s="30" t="str">
        <x:v>Paola Andrea Ruiz Franco</x:v>
      </x:c>
      <x:c r="F115" s="30" t="str">
        <x:v>Coordinación técnica, integración y seguimiento</x:v>
      </x:c>
      <x:c r="G115" s="35" t="n">
        <x:v>0.11764705882352941</x:v>
      </x:c>
      <x:c r="H115" s="33" t="n">
        <x:f>INDEX(Actividades!$I$6:$I$104,MATCH(A115,Actividades!$A$6:$A$104,0))</x:f>
        <x:v>0.1275</x:v>
      </x:c>
      <x:c r="I115" s="33" t="n">
        <x:f>G115*H115</x:f>
        <x:v>0.015</x:v>
      </x:c>
      <x:c r="J115" s="35"/>
      <x:c r="K115" s="33" t="str">
        <x:f>IF(ISNUMBER(J115),G115*J115,"")</x:f>
      </x:c>
      <x:c r="L115" s="33" t="str">
        <x:f>IF(ISNUMBER(J115),I115*J115,"")</x:f>
      </x:c>
      <x:c r="M115" s="36"/>
      <x:c r="N115" s="37"/>
      <x:c r="O115" s="37"/>
      <x:c r="P115" s="30" t="n">
        <x:f>IF(ISNUMBER(J115),0,1)</x:f>
        <x:v>1</x:v>
      </x:c>
    </x:row>
    <x:row r="116" ht="54" customHeight="1">
      <x:c r="A116" s="30" t="str">
        <x:v>P6 / C3-A5</x:v>
      </x:c>
      <x:c r="B116" s="30" t="str">
        <x:v>C3</x:v>
      </x:c>
      <x:c r="C116" s="30" t="str">
        <x:v>P6</x:v>
      </x:c>
      <x:c r="D116" s="30" t="str">
        <x:v>C3-A5</x:v>
      </x:c>
      <x:c r="E116" s="30" t="str">
        <x:v>Marcos Arango Tamayo</x:v>
      </x:c>
      <x:c r="F116" s="30" t="str">
        <x:v>Elaboración técnica</x:v>
      </x:c>
      <x:c r="G116" s="35" t="n">
        <x:v>0.35294117647058826</x:v>
      </x:c>
      <x:c r="H116" s="33" t="n">
        <x:f>INDEX(Actividades!$I$6:$I$104,MATCH(A116,Actividades!$A$6:$A$104,0))</x:f>
        <x:v>0.085</x:v>
      </x:c>
      <x:c r="I116" s="33" t="n">
        <x:f>G116*H116</x:f>
        <x:v>0.030000000000000006</x:v>
      </x:c>
      <x:c r="J116" s="35"/>
      <x:c r="K116" s="33" t="str">
        <x:f>IF(ISNUMBER(J116),G116*J116,"")</x:f>
      </x:c>
      <x:c r="L116" s="33" t="str">
        <x:f>IF(ISNUMBER(J116),I116*J116,"")</x:f>
      </x:c>
      <x:c r="M116" s="36"/>
      <x:c r="N116" s="37"/>
      <x:c r="O116" s="37"/>
      <x:c r="P116" s="30" t="n">
        <x:f>IF(ISNUMBER(J116),0,1)</x:f>
        <x:v>1</x:v>
      </x:c>
    </x:row>
    <x:row r="117" ht="54" customHeight="1">
      <x:c r="A117" s="30" t="str">
        <x:v>P6 / C3-A5</x:v>
      </x:c>
      <x:c r="B117" s="30" t="str">
        <x:v>C3</x:v>
      </x:c>
      <x:c r="C117" s="30" t="str">
        <x:v>P6</x:v>
      </x:c>
      <x:c r="D117" s="30" t="str">
        <x:v>C3-A5</x:v>
      </x:c>
      <x:c r="E117" s="30" t="str">
        <x:v>Juliana Valencia</x:v>
      </x:c>
      <x:c r="F117" s="30" t="str">
        <x:v>Apoyo técnico</x:v>
      </x:c>
      <x:c r="G117" s="35" t="n">
        <x:v>0.17647058823529413</x:v>
      </x:c>
      <x:c r="H117" s="33" t="n">
        <x:f>INDEX(Actividades!$I$6:$I$104,MATCH(A117,Actividades!$A$6:$A$104,0))</x:f>
        <x:v>0.085</x:v>
      </x:c>
      <x:c r="I117" s="33" t="n">
        <x:f>G117*H117</x:f>
        <x:v>0.015000000000000003</x:v>
      </x:c>
      <x:c r="J117" s="35"/>
      <x:c r="K117" s="33" t="str">
        <x:f>IF(ISNUMBER(J117),G117*J117,"")</x:f>
      </x:c>
      <x:c r="L117" s="33" t="str">
        <x:f>IF(ISNUMBER(J117),I117*J117,"")</x:f>
      </x:c>
      <x:c r="M117" s="36"/>
      <x:c r="N117" s="37"/>
      <x:c r="O117" s="37"/>
      <x:c r="P117" s="30" t="n">
        <x:f>IF(ISNUMBER(J117),0,1)</x:f>
        <x:v>1</x:v>
      </x:c>
    </x:row>
    <x:row r="118" ht="54" customHeight="1">
      <x:c r="A118" s="30" t="str">
        <x:v>P6 / C3-A5</x:v>
      </x:c>
      <x:c r="B118" s="30" t="str">
        <x:v>C3</x:v>
      </x:c>
      <x:c r="C118" s="30" t="str">
        <x:v>P6</x:v>
      </x:c>
      <x:c r="D118" s="30" t="str">
        <x:v>C3-A5</x:v>
      </x:c>
      <x:c r="E118" s="30" t="str">
        <x:v>Jeiner de Jesús Castellanos Barliza</x:v>
      </x:c>
      <x:c r="F118" s="30" t="str">
        <x:v>Apoyo técnico</x:v>
      </x:c>
      <x:c r="G118" s="35" t="n">
        <x:v>0.17647058823529413</x:v>
      </x:c>
      <x:c r="H118" s="33" t="n">
        <x:f>INDEX(Actividades!$I$6:$I$104,MATCH(A118,Actividades!$A$6:$A$104,0))</x:f>
        <x:v>0.085</x:v>
      </x:c>
      <x:c r="I118" s="33" t="n">
        <x:f>G118*H118</x:f>
        <x:v>0.015000000000000003</x:v>
      </x:c>
      <x:c r="J118" s="35"/>
      <x:c r="K118" s="33" t="str">
        <x:f>IF(ISNUMBER(J118),G118*J118,"")</x:f>
      </x:c>
      <x:c r="L118" s="33" t="str">
        <x:f>IF(ISNUMBER(J118),I118*J118,"")</x:f>
      </x:c>
      <x:c r="M118" s="36"/>
      <x:c r="N118" s="37"/>
      <x:c r="O118" s="37"/>
      <x:c r="P118" s="30" t="n">
        <x:f>IF(ISNUMBER(J118),0,1)</x:f>
        <x:v>1</x:v>
      </x:c>
    </x:row>
    <x:row r="119" ht="54" customHeight="1">
      <x:c r="A119" s="30" t="str">
        <x:v>P6 / C3-A5</x:v>
      </x:c>
      <x:c r="B119" s="30" t="str">
        <x:v>C3</x:v>
      </x:c>
      <x:c r="C119" s="30" t="str">
        <x:v>P6</x:v>
      </x:c>
      <x:c r="D119" s="30" t="str">
        <x:v>C3-A5</x:v>
      </x:c>
      <x:c r="E119" s="30" t="str">
        <x:v>Vanessa García Leoz</x:v>
      </x:c>
      <x:c r="F119" s="30" t="str">
        <x:v>Apoyo técnico</x:v>
      </x:c>
      <x:c r="G119" s="35" t="n">
        <x:v>0.17647058823529413</x:v>
      </x:c>
      <x:c r="H119" s="33" t="n">
        <x:f>INDEX(Actividades!$I$6:$I$104,MATCH(A119,Actividades!$A$6:$A$104,0))</x:f>
        <x:v>0.085</x:v>
      </x:c>
      <x:c r="I119" s="33" t="n">
        <x:f>G119*H119</x:f>
        <x:v>0.015000000000000003</x:v>
      </x:c>
      <x:c r="J119" s="35"/>
      <x:c r="K119" s="33" t="str">
        <x:f>IF(ISNUMBER(J119),G119*J119,"")</x:f>
      </x:c>
      <x:c r="L119" s="33" t="str">
        <x:f>IF(ISNUMBER(J119),I119*J119,"")</x:f>
      </x:c>
      <x:c r="M119" s="36"/>
      <x:c r="N119" s="37"/>
      <x:c r="O119" s="37"/>
      <x:c r="P119" s="30" t="n">
        <x:f>IF(ISNUMBER(J119),0,1)</x:f>
        <x:v>1</x:v>
      </x:c>
    </x:row>
    <x:row r="120" ht="54" customHeight="1">
      <x:c r="A120" s="30" t="str">
        <x:v>P6 / C3-A5</x:v>
      </x:c>
      <x:c r="B120" s="30" t="str">
        <x:v>C3</x:v>
      </x:c>
      <x:c r="C120" s="30" t="str">
        <x:v>P6</x:v>
      </x:c>
      <x:c r="D120" s="30" t="str">
        <x:v>C3-A5</x:v>
      </x:c>
      <x:c r="E120" s="30" t="str">
        <x:v>Paola Andrea Ruiz Franco</x:v>
      </x:c>
      <x:c r="F120" s="30" t="str">
        <x:v>Coordinación técnica, integración y seguimiento</x:v>
      </x:c>
      <x:c r="G120" s="35" t="n">
        <x:v>0.11764705882352941</x:v>
      </x:c>
      <x:c r="H120" s="33" t="n">
        <x:f>INDEX(Actividades!$I$6:$I$104,MATCH(A120,Actividades!$A$6:$A$104,0))</x:f>
        <x:v>0.085</x:v>
      </x:c>
      <x:c r="I120" s="33" t="n">
        <x:f>G120*H120</x:f>
        <x:v>0.01</x:v>
      </x:c>
      <x:c r="J120" s="35"/>
      <x:c r="K120" s="33" t="str">
        <x:f>IF(ISNUMBER(J120),G120*J120,"")</x:f>
      </x:c>
      <x:c r="L120" s="33" t="str">
        <x:f>IF(ISNUMBER(J120),I120*J120,"")</x:f>
      </x:c>
      <x:c r="M120" s="36"/>
      <x:c r="N120" s="37"/>
      <x:c r="O120" s="37"/>
      <x:c r="P120" s="30" t="n">
        <x:f>IF(ISNUMBER(J120),0,1)</x:f>
        <x:v>1</x:v>
      </x:c>
    </x:row>
    <x:row r="121" ht="54" customHeight="1">
      <x:c r="A121" s="30" t="str">
        <x:v>P6 / C3-A6</x:v>
      </x:c>
      <x:c r="B121" s="30" t="str">
        <x:v>C3</x:v>
      </x:c>
      <x:c r="C121" s="30" t="str">
        <x:v>P6</x:v>
      </x:c>
      <x:c r="D121" s="30" t="str">
        <x:v>C3-A6</x:v>
      </x:c>
      <x:c r="E121" s="30" t="str">
        <x:v>Diana Carolina Ríos Echeverri</x:v>
      </x:c>
      <x:c r="F121" s="30" t="str">
        <x:v>Elaboración técnica</x:v>
      </x:c>
      <x:c r="G121" s="35" t="n">
        <x:v>0.35294117647058826</x:v>
      </x:c>
      <x:c r="H121" s="33" t="n">
        <x:f>INDEX(Actividades!$I$6:$I$104,MATCH(A121,Actividades!$A$6:$A$104,0))</x:f>
        <x:v>0.2975</x:v>
      </x:c>
      <x:c r="I121" s="33" t="n">
        <x:f>G121*H121</x:f>
        <x:v>0.105</x:v>
      </x:c>
      <x:c r="J121" s="35"/>
      <x:c r="K121" s="33" t="str">
        <x:f>IF(ISNUMBER(J121),G121*J121,"")</x:f>
      </x:c>
      <x:c r="L121" s="33" t="str">
        <x:f>IF(ISNUMBER(J121),I121*J121,"")</x:f>
      </x:c>
      <x:c r="M121" s="36"/>
      <x:c r="N121" s="37"/>
      <x:c r="O121" s="37"/>
      <x:c r="P121" s="30" t="n">
        <x:f>IF(ISNUMBER(J121),0,1)</x:f>
        <x:v>1</x:v>
      </x:c>
    </x:row>
    <x:row r="122" ht="54" customHeight="1">
      <x:c r="A122" s="30" t="str">
        <x:v>P6 / C3-A6</x:v>
      </x:c>
      <x:c r="B122" s="30" t="str">
        <x:v>C3</x:v>
      </x:c>
      <x:c r="C122" s="30" t="str">
        <x:v>P6</x:v>
      </x:c>
      <x:c r="D122" s="30" t="str">
        <x:v>C3-A6</x:v>
      </x:c>
      <x:c r="E122" s="30" t="str">
        <x:v>Juliana Valencia</x:v>
      </x:c>
      <x:c r="F122" s="30" t="str">
        <x:v>Apoyo técnico</x:v>
      </x:c>
      <x:c r="G122" s="35" t="n">
        <x:v>0.17647058823529413</x:v>
      </x:c>
      <x:c r="H122" s="33" t="n">
        <x:f>INDEX(Actividades!$I$6:$I$104,MATCH(A122,Actividades!$A$6:$A$104,0))</x:f>
        <x:v>0.2975</x:v>
      </x:c>
      <x:c r="I122" s="33" t="n">
        <x:f>G122*H122</x:f>
        <x:v>0.0525</x:v>
      </x:c>
      <x:c r="J122" s="35"/>
      <x:c r="K122" s="33" t="str">
        <x:f>IF(ISNUMBER(J122),G122*J122,"")</x:f>
      </x:c>
      <x:c r="L122" s="33" t="str">
        <x:f>IF(ISNUMBER(J122),I122*J122,"")</x:f>
      </x:c>
      <x:c r="M122" s="36"/>
      <x:c r="N122" s="37"/>
      <x:c r="O122" s="37"/>
      <x:c r="P122" s="30" t="n">
        <x:f>IF(ISNUMBER(J122),0,1)</x:f>
        <x:v>1</x:v>
      </x:c>
    </x:row>
    <x:row r="123" ht="54" customHeight="1">
      <x:c r="A123" s="30" t="str">
        <x:v>P6 / C3-A6</x:v>
      </x:c>
      <x:c r="B123" s="30" t="str">
        <x:v>C3</x:v>
      </x:c>
      <x:c r="C123" s="30" t="str">
        <x:v>P6</x:v>
      </x:c>
      <x:c r="D123" s="30" t="str">
        <x:v>C3-A6</x:v>
      </x:c>
      <x:c r="E123" s="30" t="str">
        <x:v>Marcos Arango Tamayo</x:v>
      </x:c>
      <x:c r="F123" s="30" t="str">
        <x:v>Apoyo técnico</x:v>
      </x:c>
      <x:c r="G123" s="35" t="n">
        <x:v>0.17647058823529413</x:v>
      </x:c>
      <x:c r="H123" s="33" t="n">
        <x:f>INDEX(Actividades!$I$6:$I$104,MATCH(A123,Actividades!$A$6:$A$104,0))</x:f>
        <x:v>0.2975</x:v>
      </x:c>
      <x:c r="I123" s="33" t="n">
        <x:f>G123*H123</x:f>
        <x:v>0.0525</x:v>
      </x:c>
      <x:c r="J123" s="35"/>
      <x:c r="K123" s="33" t="str">
        <x:f>IF(ISNUMBER(J123),G123*J123,"")</x:f>
      </x:c>
      <x:c r="L123" s="33" t="str">
        <x:f>IF(ISNUMBER(J123),I123*J123,"")</x:f>
      </x:c>
      <x:c r="M123" s="36"/>
      <x:c r="N123" s="37"/>
      <x:c r="O123" s="37"/>
      <x:c r="P123" s="30" t="n">
        <x:f>IF(ISNUMBER(J123),0,1)</x:f>
        <x:v>1</x:v>
      </x:c>
    </x:row>
    <x:row r="124" ht="54" customHeight="1">
      <x:c r="A124" s="30" t="str">
        <x:v>P6 / C3-A6</x:v>
      </x:c>
      <x:c r="B124" s="30" t="str">
        <x:v>C3</x:v>
      </x:c>
      <x:c r="C124" s="30" t="str">
        <x:v>P6</x:v>
      </x:c>
      <x:c r="D124" s="30" t="str">
        <x:v>C3-A6</x:v>
      </x:c>
      <x:c r="E124" s="30" t="str">
        <x:v>Alejandro Silva Cortés</x:v>
      </x:c>
      <x:c r="F124" s="30" t="str">
        <x:v>Apoyo técnico</x:v>
      </x:c>
      <x:c r="G124" s="35" t="n">
        <x:v>0.17647058823529413</x:v>
      </x:c>
      <x:c r="H124" s="33" t="n">
        <x:f>INDEX(Actividades!$I$6:$I$104,MATCH(A124,Actividades!$A$6:$A$104,0))</x:f>
        <x:v>0.2975</x:v>
      </x:c>
      <x:c r="I124" s="33" t="n">
        <x:f>G124*H124</x:f>
        <x:v>0.0525</x:v>
      </x:c>
      <x:c r="J124" s="35"/>
      <x:c r="K124" s="33" t="str">
        <x:f>IF(ISNUMBER(J124),G124*J124,"")</x:f>
      </x:c>
      <x:c r="L124" s="33" t="str">
        <x:f>IF(ISNUMBER(J124),I124*J124,"")</x:f>
      </x:c>
      <x:c r="M124" s="36"/>
      <x:c r="N124" s="37"/>
      <x:c r="O124" s="37"/>
      <x:c r="P124" s="30" t="n">
        <x:f>IF(ISNUMBER(J124),0,1)</x:f>
        <x:v>1</x:v>
      </x:c>
    </x:row>
    <x:row r="125" ht="54" customHeight="1">
      <x:c r="A125" s="30" t="str">
        <x:v>P6 / C3-A6</x:v>
      </x:c>
      <x:c r="B125" s="30" t="str">
        <x:v>C3</x:v>
      </x:c>
      <x:c r="C125" s="30" t="str">
        <x:v>P6</x:v>
      </x:c>
      <x:c r="D125" s="30" t="str">
        <x:v>C3-A6</x:v>
      </x:c>
      <x:c r="E125" s="30" t="str">
        <x:v>Paola Andrea Ruiz Franco</x:v>
      </x:c>
      <x:c r="F125" s="30" t="str">
        <x:v>Coordinación técnica, integración y seguimiento</x:v>
      </x:c>
      <x:c r="G125" s="35" t="n">
        <x:v>0.11764705882352941</x:v>
      </x:c>
      <x:c r="H125" s="33" t="n">
        <x:f>INDEX(Actividades!$I$6:$I$104,MATCH(A125,Actividades!$A$6:$A$104,0))</x:f>
        <x:v>0.2975</x:v>
      </x:c>
      <x:c r="I125" s="33" t="n">
        <x:f>G125*H125</x:f>
        <x:v>0.034999999999999996</x:v>
      </x:c>
      <x:c r="J125" s="35"/>
      <x:c r="K125" s="33" t="str">
        <x:f>IF(ISNUMBER(J125),G125*J125,"")</x:f>
      </x:c>
      <x:c r="L125" s="33" t="str">
        <x:f>IF(ISNUMBER(J125),I125*J125,"")</x:f>
      </x:c>
      <x:c r="M125" s="36"/>
      <x:c r="N125" s="37"/>
      <x:c r="O125" s="37"/>
      <x:c r="P125" s="30" t="n">
        <x:f>IF(ISNUMBER(J125),0,1)</x:f>
        <x:v>1</x:v>
      </x:c>
    </x:row>
    <x:row r="126" ht="54" customHeight="1">
      <x:c r="A126" s="30" t="str">
        <x:v>P6 / R01</x:v>
      </x:c>
      <x:c r="B126" s="30" t="str">
        <x:v>C3</x:v>
      </x:c>
      <x:c r="C126" s="30" t="str">
        <x:v>P6</x:v>
      </x:c>
      <x:c r="D126" s="30" t="str">
        <x:v>R01</x:v>
      </x:c>
      <x:c r="E126" s="30" t="str">
        <x:v>Guillermo Penagos</x:v>
      </x:c>
      <x:c r="F126" s="30" t="str">
        <x:v>Revisión técnica y cierre para envío a Secretaría</x:v>
      </x:c>
      <x:c r="G126" s="35" t="n">
        <x:v>0.5</x:v>
      </x:c>
      <x:c r="H126" s="33" t="n">
        <x:f>INDEX(Actividades!$I$6:$I$104,MATCH(A126,Actividades!$A$6:$A$104,0))</x:f>
        <x:v>0.1</x:v>
      </x:c>
      <x:c r="I126" s="33" t="n">
        <x:f>G126*H126</x:f>
        <x:v>0.05</x:v>
      </x:c>
      <x:c r="J126" s="35"/>
      <x:c r="K126" s="33" t="str">
        <x:f>IF(ISNUMBER(J126),G126*J126,"")</x:f>
      </x:c>
      <x:c r="L126" s="33" t="str">
        <x:f>IF(ISNUMBER(J126),I126*J126,"")</x:f>
      </x:c>
      <x:c r="M126" s="36"/>
      <x:c r="N126" s="37"/>
      <x:c r="O126" s="37"/>
      <x:c r="P126" s="30" t="n">
        <x:f>IF(ISNUMBER(J126),0,1)</x:f>
        <x:v>1</x:v>
      </x:c>
    </x:row>
    <x:row r="127" ht="54" customHeight="1">
      <x:c r="A127" s="30" t="str">
        <x:v>P6 / R01</x:v>
      </x:c>
      <x:c r="B127" s="30" t="str">
        <x:v>C3</x:v>
      </x:c>
      <x:c r="C127" s="30" t="str">
        <x:v>P6</x:v>
      </x:c>
      <x:c r="D127" s="30" t="str">
        <x:v>R01</x:v>
      </x:c>
      <x:c r="E127" s="30" t="str">
        <x:v>María José Suárez</x:v>
      </x:c>
      <x:c r="F127" s="30" t="str">
        <x:v>Revisión integral y cierre para envío a Secretaría</x:v>
      </x:c>
      <x:c r="G127" s="35" t="n">
        <x:v>0.5</x:v>
      </x:c>
      <x:c r="H127" s="33" t="n">
        <x:f>INDEX(Actividades!$I$6:$I$104,MATCH(A127,Actividades!$A$6:$A$104,0))</x:f>
        <x:v>0.1</x:v>
      </x:c>
      <x:c r="I127" s="33" t="n">
        <x:f>G127*H127</x:f>
        <x:v>0.05</x:v>
      </x:c>
      <x:c r="J127" s="35"/>
      <x:c r="K127" s="33" t="str">
        <x:f>IF(ISNUMBER(J127),G127*J127,"")</x:f>
      </x:c>
      <x:c r="L127" s="33" t="str">
        <x:f>IF(ISNUMBER(J127),I127*J127,"")</x:f>
      </x:c>
      <x:c r="M127" s="36"/>
      <x:c r="N127" s="37"/>
      <x:c r="O127" s="37"/>
      <x:c r="P127" s="30" t="n">
        <x:f>IF(ISNUMBER(J127),0,1)</x:f>
        <x:v>1</x:v>
      </x:c>
    </x:row>
    <x:row r="128" ht="54" customHeight="1">
      <x:c r="A128" s="30" t="str">
        <x:v>P6 / R02</x:v>
      </x:c>
      <x:c r="B128" s="30" t="str">
        <x:v>C3</x:v>
      </x:c>
      <x:c r="C128" s="30" t="str">
        <x:v>P6</x:v>
      </x:c>
      <x:c r="D128" s="30" t="str">
        <x:v>R02</x:v>
      </x:c>
      <x:c r="E128" s="30" t="str">
        <x:v>Juana — Secretaría de Medio Ambiente</x:v>
      </x:c>
      <x:c r="F128" s="30" t="str">
        <x:v>Validación y revisión final institucional</x:v>
      </x:c>
      <x:c r="G128" s="35" t="n">
        <x:v>1</x:v>
      </x:c>
      <x:c r="H128" s="33" t="n">
        <x:f>INDEX(Actividades!$I$6:$I$104,MATCH(A128,Actividades!$A$6:$A$104,0))</x:f>
        <x:v>0.05</x:v>
      </x:c>
      <x:c r="I128" s="33" t="n">
        <x:f>G128*H128</x:f>
        <x:v>0.05</x:v>
      </x:c>
      <x:c r="J128" s="35"/>
      <x:c r="K128" s="33" t="str">
        <x:f>IF(ISNUMBER(J128),G128*J128,"")</x:f>
      </x:c>
      <x:c r="L128" s="33" t="str">
        <x:f>IF(ISNUMBER(J128),I128*J128,"")</x:f>
      </x:c>
      <x:c r="M128" s="36"/>
      <x:c r="N128" s="37"/>
      <x:c r="O128" s="37"/>
      <x:c r="P128" s="30" t="n">
        <x:f>IF(ISNUMBER(J128),0,1)</x:f>
        <x:v>1</x:v>
      </x:c>
    </x:row>
    <x:row r="129" ht="54" customHeight="1">
      <x:c r="A129" s="30" t="str">
        <x:v>P7 / C3-A2</x:v>
      </x:c>
      <x:c r="B129" s="30" t="str">
        <x:v>C3</x:v>
      </x:c>
      <x:c r="C129" s="30" t="str">
        <x:v>P7</x:v>
      </x:c>
      <x:c r="D129" s="30" t="str">
        <x:v>C3-A2</x:v>
      </x:c>
      <x:c r="E129" s="30" t="str">
        <x:v>Marcos Arango Tamayo</x:v>
      </x:c>
      <x:c r="F129" s="30" t="str">
        <x:v>Elaboración técnica</x:v>
      </x:c>
      <x:c r="G129" s="35" t="n">
        <x:v>0.5882352941176471</x:v>
      </x:c>
      <x:c r="H129" s="33" t="n">
        <x:f>INDEX(Actividades!$I$6:$I$104,MATCH(A129,Actividades!$A$6:$A$104,0))</x:f>
        <x:v>0.085</x:v>
      </x:c>
      <x:c r="I129" s="33" t="n">
        <x:f>G129*H129</x:f>
        <x:v>0.05</x:v>
      </x:c>
      <x:c r="J129" s="35"/>
      <x:c r="K129" s="33" t="str">
        <x:f>IF(ISNUMBER(J129),G129*J129,"")</x:f>
      </x:c>
      <x:c r="L129" s="33" t="str">
        <x:f>IF(ISNUMBER(J129),I129*J129,"")</x:f>
      </x:c>
      <x:c r="M129" s="36"/>
      <x:c r="N129" s="37"/>
      <x:c r="O129" s="37"/>
      <x:c r="P129" s="30" t="n">
        <x:f>IF(ISNUMBER(J129),0,1)</x:f>
        <x:v>1</x:v>
      </x:c>
    </x:row>
    <x:row r="130" ht="54" customHeight="1">
      <x:c r="A130" s="30" t="str">
        <x:v>P7 / C3-A2</x:v>
      </x:c>
      <x:c r="B130" s="30" t="str">
        <x:v>C3</x:v>
      </x:c>
      <x:c r="C130" s="30" t="str">
        <x:v>P7</x:v>
      </x:c>
      <x:c r="D130" s="30" t="str">
        <x:v>C3-A2</x:v>
      </x:c>
      <x:c r="E130" s="30" t="str">
        <x:v>Juliana Valencia</x:v>
      </x:c>
      <x:c r="F130" s="30" t="str">
        <x:v>Apoyo técnico</x:v>
      </x:c>
      <x:c r="G130" s="35" t="n">
        <x:v>0.29411764705882354</x:v>
      </x:c>
      <x:c r="H130" s="33" t="n">
        <x:f>INDEX(Actividades!$I$6:$I$104,MATCH(A130,Actividades!$A$6:$A$104,0))</x:f>
        <x:v>0.085</x:v>
      </x:c>
      <x:c r="I130" s="33" t="n">
        <x:f>G130*H130</x:f>
        <x:v>0.025</x:v>
      </x:c>
      <x:c r="J130" s="35"/>
      <x:c r="K130" s="33" t="str">
        <x:f>IF(ISNUMBER(J130),G130*J130,"")</x:f>
      </x:c>
      <x:c r="L130" s="33" t="str">
        <x:f>IF(ISNUMBER(J130),I130*J130,"")</x:f>
      </x:c>
      <x:c r="M130" s="36"/>
      <x:c r="N130" s="37"/>
      <x:c r="O130" s="37"/>
      <x:c r="P130" s="30" t="n">
        <x:f>IF(ISNUMBER(J130),0,1)</x:f>
        <x:v>1</x:v>
      </x:c>
    </x:row>
    <x:row r="131" ht="54" customHeight="1">
      <x:c r="A131" s="30" t="str">
        <x:v>P7 / C3-A2</x:v>
      </x:c>
      <x:c r="B131" s="30" t="str">
        <x:v>C3</x:v>
      </x:c>
      <x:c r="C131" s="30" t="str">
        <x:v>P7</x:v>
      </x:c>
      <x:c r="D131" s="30" t="str">
        <x:v>C3-A2</x:v>
      </x:c>
      <x:c r="E131" s="30" t="str">
        <x:v>Paola Andrea Ruiz Franco</x:v>
      </x:c>
      <x:c r="F131" s="30" t="str">
        <x:v>Coordinación técnica, integración y seguimiento</x:v>
      </x:c>
      <x:c r="G131" s="35" t="n">
        <x:v>0.11764705882352941</x:v>
      </x:c>
      <x:c r="H131" s="33" t="n">
        <x:f>INDEX(Actividades!$I$6:$I$104,MATCH(A131,Actividades!$A$6:$A$104,0))</x:f>
        <x:v>0.085</x:v>
      </x:c>
      <x:c r="I131" s="33" t="n">
        <x:f>G131*H131</x:f>
        <x:v>0.01</x:v>
      </x:c>
      <x:c r="J131" s="35"/>
      <x:c r="K131" s="33" t="str">
        <x:f>IF(ISNUMBER(J131),G131*J131,"")</x:f>
      </x:c>
      <x:c r="L131" s="33" t="str">
        <x:f>IF(ISNUMBER(J131),I131*J131,"")</x:f>
      </x:c>
      <x:c r="M131" s="36"/>
      <x:c r="N131" s="37"/>
      <x:c r="O131" s="37"/>
      <x:c r="P131" s="30" t="n">
        <x:f>IF(ISNUMBER(J131),0,1)</x:f>
        <x:v>1</x:v>
      </x:c>
    </x:row>
    <x:row r="132" ht="54" customHeight="1">
      <x:c r="A132" s="30" t="str">
        <x:v>P7 / C3-A3</x:v>
      </x:c>
      <x:c r="B132" s="30" t="str">
        <x:v>C3</x:v>
      </x:c>
      <x:c r="C132" s="30" t="str">
        <x:v>P7</x:v>
      </x:c>
      <x:c r="D132" s="30" t="str">
        <x:v>C3-A3</x:v>
      </x:c>
      <x:c r="E132" s="30" t="str">
        <x:v>Juliana Valencia</x:v>
      </x:c>
      <x:c r="F132" s="30" t="str">
        <x:v>Elaboración técnica</x:v>
      </x:c>
      <x:c r="G132" s="35" t="n">
        <x:v>0.35294117647058826</x:v>
      </x:c>
      <x:c r="H132" s="33" t="n">
        <x:f>INDEX(Actividades!$I$6:$I$104,MATCH(A132,Actividades!$A$6:$A$104,0))</x:f>
        <x:v>0.1275</x:v>
      </x:c>
      <x:c r="I132" s="33" t="n">
        <x:f>G132*H132</x:f>
        <x:v>0.045000000000000005</x:v>
      </x:c>
      <x:c r="J132" s="35"/>
      <x:c r="K132" s="33" t="str">
        <x:f>IF(ISNUMBER(J132),G132*J132,"")</x:f>
      </x:c>
      <x:c r="L132" s="33" t="str">
        <x:f>IF(ISNUMBER(J132),I132*J132,"")</x:f>
      </x:c>
      <x:c r="M132" s="36"/>
      <x:c r="N132" s="37"/>
      <x:c r="O132" s="37"/>
      <x:c r="P132" s="30" t="n">
        <x:f>IF(ISNUMBER(J132),0,1)</x:f>
        <x:v>1</x:v>
      </x:c>
    </x:row>
    <x:row r="133" ht="54" customHeight="1">
      <x:c r="A133" s="30" t="str">
        <x:v>P7 / C3-A3</x:v>
      </x:c>
      <x:c r="B133" s="30" t="str">
        <x:v>C3</x:v>
      </x:c>
      <x:c r="C133" s="30" t="str">
        <x:v>P7</x:v>
      </x:c>
      <x:c r="D133" s="30" t="str">
        <x:v>C3-A3</x:v>
      </x:c>
      <x:c r="E133" s="30" t="str">
        <x:v>Harlem Acevedo Agudelo</x:v>
      </x:c>
      <x:c r="F133" s="30" t="str">
        <x:v>Elaboración técnica</x:v>
      </x:c>
      <x:c r="G133" s="35" t="n">
        <x:v>0.35294117647058826</x:v>
      </x:c>
      <x:c r="H133" s="33" t="n">
        <x:f>INDEX(Actividades!$I$6:$I$104,MATCH(A133,Actividades!$A$6:$A$104,0))</x:f>
        <x:v>0.1275</x:v>
      </x:c>
      <x:c r="I133" s="33" t="n">
        <x:f>G133*H133</x:f>
        <x:v>0.045000000000000005</x:v>
      </x:c>
      <x:c r="J133" s="35"/>
      <x:c r="K133" s="33" t="str">
        <x:f>IF(ISNUMBER(J133),G133*J133,"")</x:f>
      </x:c>
      <x:c r="L133" s="33" t="str">
        <x:f>IF(ISNUMBER(J133),I133*J133,"")</x:f>
      </x:c>
      <x:c r="M133" s="36"/>
      <x:c r="N133" s="37"/>
      <x:c r="O133" s="37"/>
      <x:c r="P133" s="30" t="n">
        <x:f>IF(ISNUMBER(J133),0,1)</x:f>
        <x:v>1</x:v>
      </x:c>
    </x:row>
    <x:row r="134" ht="54" customHeight="1">
      <x:c r="A134" s="30" t="str">
        <x:v>P7 / C3-A3</x:v>
      </x:c>
      <x:c r="B134" s="30" t="str">
        <x:v>C3</x:v>
      </x:c>
      <x:c r="C134" s="30" t="str">
        <x:v>P7</x:v>
      </x:c>
      <x:c r="D134" s="30" t="str">
        <x:v>C3-A3</x:v>
      </x:c>
      <x:c r="E134" s="30" t="str">
        <x:v>Marcos Arango Tamayo</x:v>
      </x:c>
      <x:c r="F134" s="30" t="str">
        <x:v>Apoyo técnico</x:v>
      </x:c>
      <x:c r="G134" s="35" t="n">
        <x:v>0.17647058823529413</x:v>
      </x:c>
      <x:c r="H134" s="33" t="n">
        <x:f>INDEX(Actividades!$I$6:$I$104,MATCH(A134,Actividades!$A$6:$A$104,0))</x:f>
        <x:v>0.1275</x:v>
      </x:c>
      <x:c r="I134" s="33" t="n">
        <x:f>G134*H134</x:f>
        <x:v>0.022500000000000003</x:v>
      </x:c>
      <x:c r="J134" s="35"/>
      <x:c r="K134" s="33" t="str">
        <x:f>IF(ISNUMBER(J134),G134*J134,"")</x:f>
      </x:c>
      <x:c r="L134" s="33" t="str">
        <x:f>IF(ISNUMBER(J134),I134*J134,"")</x:f>
      </x:c>
      <x:c r="M134" s="36"/>
      <x:c r="N134" s="37"/>
      <x:c r="O134" s="37"/>
      <x:c r="P134" s="30" t="n">
        <x:f>IF(ISNUMBER(J134),0,1)</x:f>
        <x:v>1</x:v>
      </x:c>
    </x:row>
    <x:row r="135" ht="54" customHeight="1">
      <x:c r="A135" s="30" t="str">
        <x:v>P7 / C3-A3</x:v>
      </x:c>
      <x:c r="B135" s="30" t="str">
        <x:v>C3</x:v>
      </x:c>
      <x:c r="C135" s="30" t="str">
        <x:v>P7</x:v>
      </x:c>
      <x:c r="D135" s="30" t="str">
        <x:v>C3-A3</x:v>
      </x:c>
      <x:c r="E135" s="30" t="str">
        <x:v>Paola Andrea Ruiz Franco</x:v>
      </x:c>
      <x:c r="F135" s="30" t="str">
        <x:v>Coordinación técnica, integración y seguimiento</x:v>
      </x:c>
      <x:c r="G135" s="35" t="n">
        <x:v>0.11764705882352941</x:v>
      </x:c>
      <x:c r="H135" s="33" t="n">
        <x:f>INDEX(Actividades!$I$6:$I$104,MATCH(A135,Actividades!$A$6:$A$104,0))</x:f>
        <x:v>0.1275</x:v>
      </x:c>
      <x:c r="I135" s="33" t="n">
        <x:f>G135*H135</x:f>
        <x:v>0.015</x:v>
      </x:c>
      <x:c r="J135" s="35"/>
      <x:c r="K135" s="33" t="str">
        <x:f>IF(ISNUMBER(J135),G135*J135,"")</x:f>
      </x:c>
      <x:c r="L135" s="33" t="str">
        <x:f>IF(ISNUMBER(J135),I135*J135,"")</x:f>
      </x:c>
      <x:c r="M135" s="36"/>
      <x:c r="N135" s="37"/>
      <x:c r="O135" s="37"/>
      <x:c r="P135" s="30" t="n">
        <x:f>IF(ISNUMBER(J135),0,1)</x:f>
        <x:v>1</x:v>
      </x:c>
    </x:row>
    <x:row r="136" ht="54" customHeight="1">
      <x:c r="A136" s="30" t="str">
        <x:v>P7 / C3-A4</x:v>
      </x:c>
      <x:c r="B136" s="30" t="str">
        <x:v>C3</x:v>
      </x:c>
      <x:c r="C136" s="30" t="str">
        <x:v>P7</x:v>
      </x:c>
      <x:c r="D136" s="30" t="str">
        <x:v>C3-A4</x:v>
      </x:c>
      <x:c r="E136" s="30" t="str">
        <x:v>Jeiner de Jesús Castellanos Barliza</x:v>
      </x:c>
      <x:c r="F136" s="30" t="str">
        <x:v>Elaboración técnica</x:v>
      </x:c>
      <x:c r="G136" s="35" t="n">
        <x:v>0.35294117647058826</x:v>
      </x:c>
      <x:c r="H136" s="33" t="n">
        <x:f>INDEX(Actividades!$I$6:$I$104,MATCH(A136,Actividades!$A$6:$A$104,0))</x:f>
        <x:v>0.1275</x:v>
      </x:c>
      <x:c r="I136" s="33" t="n">
        <x:f>G136*H136</x:f>
        <x:v>0.045000000000000005</x:v>
      </x:c>
      <x:c r="J136" s="35"/>
      <x:c r="K136" s="33" t="str">
        <x:f>IF(ISNUMBER(J136),G136*J136,"")</x:f>
      </x:c>
      <x:c r="L136" s="33" t="str">
        <x:f>IF(ISNUMBER(J136),I136*J136,"")</x:f>
      </x:c>
      <x:c r="M136" s="36"/>
      <x:c r="N136" s="37"/>
      <x:c r="O136" s="37"/>
      <x:c r="P136" s="30" t="n">
        <x:f>IF(ISNUMBER(J136),0,1)</x:f>
        <x:v>1</x:v>
      </x:c>
    </x:row>
    <x:row r="137" ht="54" customHeight="1">
      <x:c r="A137" s="30" t="str">
        <x:v>P7 / C3-A4</x:v>
      </x:c>
      <x:c r="B137" s="30" t="str">
        <x:v>C3</x:v>
      </x:c>
      <x:c r="C137" s="30" t="str">
        <x:v>P7</x:v>
      </x:c>
      <x:c r="D137" s="30" t="str">
        <x:v>C3-A4</x:v>
      </x:c>
      <x:c r="E137" s="30" t="str">
        <x:v>Vanessa García Leoz</x:v>
      </x:c>
      <x:c r="F137" s="30" t="str">
        <x:v>Elaboración técnica</x:v>
      </x:c>
      <x:c r="G137" s="35" t="n">
        <x:v>0.35294117647058826</x:v>
      </x:c>
      <x:c r="H137" s="33" t="n">
        <x:f>INDEX(Actividades!$I$6:$I$104,MATCH(A137,Actividades!$A$6:$A$104,0))</x:f>
        <x:v>0.1275</x:v>
      </x:c>
      <x:c r="I137" s="33" t="n">
        <x:f>G137*H137</x:f>
        <x:v>0.045000000000000005</x:v>
      </x:c>
      <x:c r="J137" s="35"/>
      <x:c r="K137" s="33" t="str">
        <x:f>IF(ISNUMBER(J137),G137*J137,"")</x:f>
      </x:c>
      <x:c r="L137" s="33" t="str">
        <x:f>IF(ISNUMBER(J137),I137*J137,"")</x:f>
      </x:c>
      <x:c r="M137" s="36"/>
      <x:c r="N137" s="37"/>
      <x:c r="O137" s="37"/>
      <x:c r="P137" s="30" t="n">
        <x:f>IF(ISNUMBER(J137),0,1)</x:f>
        <x:v>1</x:v>
      </x:c>
    </x:row>
    <x:row r="138" ht="54" customHeight="1">
      <x:c r="A138" s="30" t="str">
        <x:v>P7 / C3-A4</x:v>
      </x:c>
      <x:c r="B138" s="30" t="str">
        <x:v>C3</x:v>
      </x:c>
      <x:c r="C138" s="30" t="str">
        <x:v>P7</x:v>
      </x:c>
      <x:c r="D138" s="30" t="str">
        <x:v>C3-A4</x:v>
      </x:c>
      <x:c r="E138" s="30" t="str">
        <x:v>Harlem Acevedo Agudelo</x:v>
      </x:c>
      <x:c r="F138" s="30" t="str">
        <x:v>Apoyo técnico</x:v>
      </x:c>
      <x:c r="G138" s="35" t="n">
        <x:v>0.17647058823529413</x:v>
      </x:c>
      <x:c r="H138" s="33" t="n">
        <x:f>INDEX(Actividades!$I$6:$I$104,MATCH(A138,Actividades!$A$6:$A$104,0))</x:f>
        <x:v>0.1275</x:v>
      </x:c>
      <x:c r="I138" s="33" t="n">
        <x:f>G138*H138</x:f>
        <x:v>0.022500000000000003</x:v>
      </x:c>
      <x:c r="J138" s="35"/>
      <x:c r="K138" s="33" t="str">
        <x:f>IF(ISNUMBER(J138),G138*J138,"")</x:f>
      </x:c>
      <x:c r="L138" s="33" t="str">
        <x:f>IF(ISNUMBER(J138),I138*J138,"")</x:f>
      </x:c>
      <x:c r="M138" s="36"/>
      <x:c r="N138" s="37"/>
      <x:c r="O138" s="37"/>
      <x:c r="P138" s="30" t="n">
        <x:f>IF(ISNUMBER(J138),0,1)</x:f>
        <x:v>1</x:v>
      </x:c>
    </x:row>
    <x:row r="139" ht="54" customHeight="1">
      <x:c r="A139" s="30" t="str">
        <x:v>P7 / C3-A4</x:v>
      </x:c>
      <x:c r="B139" s="30" t="str">
        <x:v>C3</x:v>
      </x:c>
      <x:c r="C139" s="30" t="str">
        <x:v>P7</x:v>
      </x:c>
      <x:c r="D139" s="30" t="str">
        <x:v>C3-A4</x:v>
      </x:c>
      <x:c r="E139" s="30" t="str">
        <x:v>Paola Andrea Ruiz Franco</x:v>
      </x:c>
      <x:c r="F139" s="30" t="str">
        <x:v>Coordinación técnica, integración y seguimiento</x:v>
      </x:c>
      <x:c r="G139" s="35" t="n">
        <x:v>0.11764705882352941</x:v>
      </x:c>
      <x:c r="H139" s="33" t="n">
        <x:f>INDEX(Actividades!$I$6:$I$104,MATCH(A139,Actividades!$A$6:$A$104,0))</x:f>
        <x:v>0.1275</x:v>
      </x:c>
      <x:c r="I139" s="33" t="n">
        <x:f>G139*H139</x:f>
        <x:v>0.015</x:v>
      </x:c>
      <x:c r="J139" s="35"/>
      <x:c r="K139" s="33" t="str">
        <x:f>IF(ISNUMBER(J139),G139*J139,"")</x:f>
      </x:c>
      <x:c r="L139" s="33" t="str">
        <x:f>IF(ISNUMBER(J139),I139*J139,"")</x:f>
      </x:c>
      <x:c r="M139" s="36"/>
      <x:c r="N139" s="37"/>
      <x:c r="O139" s="37"/>
      <x:c r="P139" s="30" t="n">
        <x:f>IF(ISNUMBER(J139),0,1)</x:f>
        <x:v>1</x:v>
      </x:c>
    </x:row>
    <x:row r="140" ht="54" customHeight="1">
      <x:c r="A140" s="30" t="str">
        <x:v>P7 / C3-A5</x:v>
      </x:c>
      <x:c r="B140" s="30" t="str">
        <x:v>C3</x:v>
      </x:c>
      <x:c r="C140" s="30" t="str">
        <x:v>P7</x:v>
      </x:c>
      <x:c r="D140" s="30" t="str">
        <x:v>C3-A5</x:v>
      </x:c>
      <x:c r="E140" s="30" t="str">
        <x:v>Marcos Arango Tamayo</x:v>
      </x:c>
      <x:c r="F140" s="30" t="str">
        <x:v>Elaboración técnica</x:v>
      </x:c>
      <x:c r="G140" s="35" t="n">
        <x:v>0.5882352941176471</x:v>
      </x:c>
      <x:c r="H140" s="33" t="n">
        <x:f>INDEX(Actividades!$I$6:$I$104,MATCH(A140,Actividades!$A$6:$A$104,0))</x:f>
        <x:v>0.085</x:v>
      </x:c>
      <x:c r="I140" s="33" t="n">
        <x:f>G140*H140</x:f>
        <x:v>0.05</x:v>
      </x:c>
      <x:c r="J140" s="35"/>
      <x:c r="K140" s="33" t="str">
        <x:f>IF(ISNUMBER(J140),G140*J140,"")</x:f>
      </x:c>
      <x:c r="L140" s="33" t="str">
        <x:f>IF(ISNUMBER(J140),I140*J140,"")</x:f>
      </x:c>
      <x:c r="M140" s="36"/>
      <x:c r="N140" s="37"/>
      <x:c r="O140" s="37"/>
      <x:c r="P140" s="30" t="n">
        <x:f>IF(ISNUMBER(J140),0,1)</x:f>
        <x:v>1</x:v>
      </x:c>
    </x:row>
    <x:row r="141" ht="54" customHeight="1">
      <x:c r="A141" s="30" t="str">
        <x:v>P7 / C3-A5</x:v>
      </x:c>
      <x:c r="B141" s="30" t="str">
        <x:v>C3</x:v>
      </x:c>
      <x:c r="C141" s="30" t="str">
        <x:v>P7</x:v>
      </x:c>
      <x:c r="D141" s="30" t="str">
        <x:v>C3-A5</x:v>
      </x:c>
      <x:c r="E141" s="30" t="str">
        <x:v>Vanessa García Leoz</x:v>
      </x:c>
      <x:c r="F141" s="30" t="str">
        <x:v>Apoyo técnico</x:v>
      </x:c>
      <x:c r="G141" s="35" t="n">
        <x:v>0.29411764705882354</x:v>
      </x:c>
      <x:c r="H141" s="33" t="n">
        <x:f>INDEX(Actividades!$I$6:$I$104,MATCH(A141,Actividades!$A$6:$A$104,0))</x:f>
        <x:v>0.085</x:v>
      </x:c>
      <x:c r="I141" s="33" t="n">
        <x:f>G141*H141</x:f>
        <x:v>0.025</x:v>
      </x:c>
      <x:c r="J141" s="35"/>
      <x:c r="K141" s="33" t="str">
        <x:f>IF(ISNUMBER(J141),G141*J141,"")</x:f>
      </x:c>
      <x:c r="L141" s="33" t="str">
        <x:f>IF(ISNUMBER(J141),I141*J141,"")</x:f>
      </x:c>
      <x:c r="M141" s="36"/>
      <x:c r="N141" s="37"/>
      <x:c r="O141" s="37"/>
      <x:c r="P141" s="30" t="n">
        <x:f>IF(ISNUMBER(J141),0,1)</x:f>
        <x:v>1</x:v>
      </x:c>
    </x:row>
    <x:row r="142" ht="54" customHeight="1">
      <x:c r="A142" s="30" t="str">
        <x:v>P7 / C3-A5</x:v>
      </x:c>
      <x:c r="B142" s="30" t="str">
        <x:v>C3</x:v>
      </x:c>
      <x:c r="C142" s="30" t="str">
        <x:v>P7</x:v>
      </x:c>
      <x:c r="D142" s="30" t="str">
        <x:v>C3-A5</x:v>
      </x:c>
      <x:c r="E142" s="30" t="str">
        <x:v>Paola Andrea Ruiz Franco</x:v>
      </x:c>
      <x:c r="F142" s="30" t="str">
        <x:v>Coordinación técnica, integración y seguimiento</x:v>
      </x:c>
      <x:c r="G142" s="35" t="n">
        <x:v>0.11764705882352941</x:v>
      </x:c>
      <x:c r="H142" s="33" t="n">
        <x:f>INDEX(Actividades!$I$6:$I$104,MATCH(A142,Actividades!$A$6:$A$104,0))</x:f>
        <x:v>0.085</x:v>
      </x:c>
      <x:c r="I142" s="33" t="n">
        <x:f>G142*H142</x:f>
        <x:v>0.01</x:v>
      </x:c>
      <x:c r="J142" s="35"/>
      <x:c r="K142" s="33" t="str">
        <x:f>IF(ISNUMBER(J142),G142*J142,"")</x:f>
      </x:c>
      <x:c r="L142" s="33" t="str">
        <x:f>IF(ISNUMBER(J142),I142*J142,"")</x:f>
      </x:c>
      <x:c r="M142" s="36"/>
      <x:c r="N142" s="37"/>
      <x:c r="O142" s="37"/>
      <x:c r="P142" s="30" t="n">
        <x:f>IF(ISNUMBER(J142),0,1)</x:f>
        <x:v>1</x:v>
      </x:c>
    </x:row>
    <x:row r="143" ht="54" customHeight="1">
      <x:c r="A143" s="30" t="str">
        <x:v>P7 / C3-A6</x:v>
      </x:c>
      <x:c r="B143" s="30" t="str">
        <x:v>C3</x:v>
      </x:c>
      <x:c r="C143" s="30" t="str">
        <x:v>P7</x:v>
      </x:c>
      <x:c r="D143" s="30" t="str">
        <x:v>C3-A6</x:v>
      </x:c>
      <x:c r="E143" s="30" t="str">
        <x:v>Diana Carolina Ríos Echeverri</x:v>
      </x:c>
      <x:c r="F143" s="30" t="str">
        <x:v>Elaboración técnica</x:v>
      </x:c>
      <x:c r="G143" s="35" t="n">
        <x:v>0.35294117647058826</x:v>
      </x:c>
      <x:c r="H143" s="33" t="n">
        <x:f>INDEX(Actividades!$I$6:$I$104,MATCH(A143,Actividades!$A$6:$A$104,0))</x:f>
        <x:v>0.17</x:v>
      </x:c>
      <x:c r="I143" s="33" t="n">
        <x:f>G143*H143</x:f>
        <x:v>0.06000000000000001</x:v>
      </x:c>
      <x:c r="J143" s="35"/>
      <x:c r="K143" s="33" t="str">
        <x:f>IF(ISNUMBER(J143),G143*J143,"")</x:f>
      </x:c>
      <x:c r="L143" s="33" t="str">
        <x:f>IF(ISNUMBER(J143),I143*J143,"")</x:f>
      </x:c>
      <x:c r="M143" s="36"/>
      <x:c r="N143" s="37"/>
      <x:c r="O143" s="37"/>
      <x:c r="P143" s="30" t="n">
        <x:f>IF(ISNUMBER(J143),0,1)</x:f>
        <x:v>1</x:v>
      </x:c>
    </x:row>
    <x:row r="144" ht="54" customHeight="1">
      <x:c r="A144" s="30" t="str">
        <x:v>P7 / C3-A6</x:v>
      </x:c>
      <x:c r="B144" s="30" t="str">
        <x:v>C3</x:v>
      </x:c>
      <x:c r="C144" s="30" t="str">
        <x:v>P7</x:v>
      </x:c>
      <x:c r="D144" s="30" t="str">
        <x:v>C3-A6</x:v>
      </x:c>
      <x:c r="E144" s="30" t="str">
        <x:v>Alejandro Silva Cortés</x:v>
      </x:c>
      <x:c r="F144" s="30" t="str">
        <x:v>Elaboración técnica</x:v>
      </x:c>
      <x:c r="G144" s="35" t="n">
        <x:v>0.35294117647058826</x:v>
      </x:c>
      <x:c r="H144" s="33" t="n">
        <x:f>INDEX(Actividades!$I$6:$I$104,MATCH(A144,Actividades!$A$6:$A$104,0))</x:f>
        <x:v>0.17</x:v>
      </x:c>
      <x:c r="I144" s="33" t="n">
        <x:f>G144*H144</x:f>
        <x:v>0.06000000000000001</x:v>
      </x:c>
      <x:c r="J144" s="35"/>
      <x:c r="K144" s="33" t="str">
        <x:f>IF(ISNUMBER(J144),G144*J144,"")</x:f>
      </x:c>
      <x:c r="L144" s="33" t="str">
        <x:f>IF(ISNUMBER(J144),I144*J144,"")</x:f>
      </x:c>
      <x:c r="M144" s="36"/>
      <x:c r="N144" s="37"/>
      <x:c r="O144" s="37"/>
      <x:c r="P144" s="30" t="n">
        <x:f>IF(ISNUMBER(J144),0,1)</x:f>
        <x:v>1</x:v>
      </x:c>
    </x:row>
    <x:row r="145" ht="54" customHeight="1">
      <x:c r="A145" s="30" t="str">
        <x:v>P7 / C3-A6</x:v>
      </x:c>
      <x:c r="B145" s="30" t="str">
        <x:v>C3</x:v>
      </x:c>
      <x:c r="C145" s="30" t="str">
        <x:v>P7</x:v>
      </x:c>
      <x:c r="D145" s="30" t="str">
        <x:v>C3-A6</x:v>
      </x:c>
      <x:c r="E145" s="30" t="str">
        <x:v>Sebastián Cartagena</x:v>
      </x:c>
      <x:c r="F145" s="30" t="str">
        <x:v>Apoyo técnico</x:v>
      </x:c>
      <x:c r="G145" s="35" t="n">
        <x:v>0.17647058823529413</x:v>
      </x:c>
      <x:c r="H145" s="33" t="n">
        <x:f>INDEX(Actividades!$I$6:$I$104,MATCH(A145,Actividades!$A$6:$A$104,0))</x:f>
        <x:v>0.17</x:v>
      </x:c>
      <x:c r="I145" s="33" t="n">
        <x:f>G145*H145</x:f>
        <x:v>0.030000000000000006</x:v>
      </x:c>
      <x:c r="J145" s="35"/>
      <x:c r="K145" s="33" t="str">
        <x:f>IF(ISNUMBER(J145),G145*J145,"")</x:f>
      </x:c>
      <x:c r="L145" s="33" t="str">
        <x:f>IF(ISNUMBER(J145),I145*J145,"")</x:f>
      </x:c>
      <x:c r="M145" s="36"/>
      <x:c r="N145" s="37"/>
      <x:c r="O145" s="37"/>
      <x:c r="P145" s="30" t="n">
        <x:f>IF(ISNUMBER(J145),0,1)</x:f>
        <x:v>1</x:v>
      </x:c>
    </x:row>
    <x:row r="146" ht="54" customHeight="1">
      <x:c r="A146" s="30" t="str">
        <x:v>P7 / C3-A6</x:v>
      </x:c>
      <x:c r="B146" s="30" t="str">
        <x:v>C3</x:v>
      </x:c>
      <x:c r="C146" s="30" t="str">
        <x:v>P7</x:v>
      </x:c>
      <x:c r="D146" s="30" t="str">
        <x:v>C3-A6</x:v>
      </x:c>
      <x:c r="E146" s="30" t="str">
        <x:v>Paola Andrea Ruiz Franco</x:v>
      </x:c>
      <x:c r="F146" s="30" t="str">
        <x:v>Coordinación técnica, integración y seguimiento</x:v>
      </x:c>
      <x:c r="G146" s="35" t="n">
        <x:v>0.11764705882352941</x:v>
      </x:c>
      <x:c r="H146" s="33" t="n">
        <x:f>INDEX(Actividades!$I$6:$I$104,MATCH(A146,Actividades!$A$6:$A$104,0))</x:f>
        <x:v>0.17</x:v>
      </x:c>
      <x:c r="I146" s="33" t="n">
        <x:f>G146*H146</x:f>
        <x:v>0.02</x:v>
      </x:c>
      <x:c r="J146" s="35"/>
      <x:c r="K146" s="33" t="str">
        <x:f>IF(ISNUMBER(J146),G146*J146,"")</x:f>
      </x:c>
      <x:c r="L146" s="33" t="str">
        <x:f>IF(ISNUMBER(J146),I146*J146,"")</x:f>
      </x:c>
      <x:c r="M146" s="36"/>
      <x:c r="N146" s="37"/>
      <x:c r="O146" s="37"/>
      <x:c r="P146" s="30" t="n">
        <x:f>IF(ISNUMBER(J146),0,1)</x:f>
        <x:v>1</x:v>
      </x:c>
    </x:row>
    <x:row r="147" ht="54" customHeight="1">
      <x:c r="A147" s="30" t="str">
        <x:v>P7 / C3-A7</x:v>
      </x:c>
      <x:c r="B147" s="30" t="str">
        <x:v>C3</x:v>
      </x:c>
      <x:c r="C147" s="30" t="str">
        <x:v>P7</x:v>
      </x:c>
      <x:c r="D147" s="30" t="str">
        <x:v>C3-A7</x:v>
      </x:c>
      <x:c r="E147" s="30" t="str">
        <x:v>Juliana Valencia</x:v>
      </x:c>
      <x:c r="F147" s="30" t="str">
        <x:v>Elaboración técnica</x:v>
      </x:c>
      <x:c r="G147" s="35" t="n">
        <x:v>0.17647058823529413</x:v>
      </x:c>
      <x:c r="H147" s="33" t="n">
        <x:f>INDEX(Actividades!$I$6:$I$104,MATCH(A147,Actividades!$A$6:$A$104,0))</x:f>
        <x:v>0.255</x:v>
      </x:c>
      <x:c r="I147" s="33" t="n">
        <x:f>G147*H147</x:f>
        <x:v>0.045000000000000005</x:v>
      </x:c>
      <x:c r="J147" s="35"/>
      <x:c r="K147" s="33" t="str">
        <x:f>IF(ISNUMBER(J147),G147*J147,"")</x:f>
      </x:c>
      <x:c r="L147" s="33" t="str">
        <x:f>IF(ISNUMBER(J147),I147*J147,"")</x:f>
      </x:c>
      <x:c r="M147" s="36"/>
      <x:c r="N147" s="37"/>
      <x:c r="O147" s="37"/>
      <x:c r="P147" s="30" t="n">
        <x:f>IF(ISNUMBER(J147),0,1)</x:f>
        <x:v>1</x:v>
      </x:c>
    </x:row>
    <x:row r="148" ht="54" customHeight="1">
      <x:c r="A148" s="30" t="str">
        <x:v>P7 / C3-A7</x:v>
      </x:c>
      <x:c r="B148" s="30" t="str">
        <x:v>C3</x:v>
      </x:c>
      <x:c r="C148" s="30" t="str">
        <x:v>P7</x:v>
      </x:c>
      <x:c r="D148" s="30" t="str">
        <x:v>C3-A7</x:v>
      </x:c>
      <x:c r="E148" s="30" t="str">
        <x:v>Jeiner de Jesús Castellanos Barliza</x:v>
      </x:c>
      <x:c r="F148" s="30" t="str">
        <x:v>Elaboración técnica</x:v>
      </x:c>
      <x:c r="G148" s="35" t="n">
        <x:v>0.17647058823529413</x:v>
      </x:c>
      <x:c r="H148" s="33" t="n">
        <x:f>INDEX(Actividades!$I$6:$I$104,MATCH(A148,Actividades!$A$6:$A$104,0))</x:f>
        <x:v>0.255</x:v>
      </x:c>
      <x:c r="I148" s="33" t="n">
        <x:f>G148*H148</x:f>
        <x:v>0.045000000000000005</x:v>
      </x:c>
      <x:c r="J148" s="35"/>
      <x:c r="K148" s="33" t="str">
        <x:f>IF(ISNUMBER(J148),G148*J148,"")</x:f>
      </x:c>
      <x:c r="L148" s="33" t="str">
        <x:f>IF(ISNUMBER(J148),I148*J148,"")</x:f>
      </x:c>
      <x:c r="M148" s="36"/>
      <x:c r="N148" s="37"/>
      <x:c r="O148" s="37"/>
      <x:c r="P148" s="30" t="n">
        <x:f>IF(ISNUMBER(J148),0,1)</x:f>
        <x:v>1</x:v>
      </x:c>
    </x:row>
    <x:row r="149" ht="54" customHeight="1">
      <x:c r="A149" s="30" t="str">
        <x:v>P7 / C3-A7</x:v>
      </x:c>
      <x:c r="B149" s="30" t="str">
        <x:v>C3</x:v>
      </x:c>
      <x:c r="C149" s="30" t="str">
        <x:v>P7</x:v>
      </x:c>
      <x:c r="D149" s="30" t="str">
        <x:v>C3-A7</x:v>
      </x:c>
      <x:c r="E149" s="30" t="str">
        <x:v>Marcos Arango Tamayo</x:v>
      </x:c>
      <x:c r="F149" s="30" t="str">
        <x:v>Elaboración técnica</x:v>
      </x:c>
      <x:c r="G149" s="35" t="n">
        <x:v>0.17647058823529413</x:v>
      </x:c>
      <x:c r="H149" s="33" t="n">
        <x:f>INDEX(Actividades!$I$6:$I$104,MATCH(A149,Actividades!$A$6:$A$104,0))</x:f>
        <x:v>0.255</x:v>
      </x:c>
      <x:c r="I149" s="33" t="n">
        <x:f>G149*H149</x:f>
        <x:v>0.045000000000000005</x:v>
      </x:c>
      <x:c r="J149" s="35"/>
      <x:c r="K149" s="33" t="str">
        <x:f>IF(ISNUMBER(J149),G149*J149,"")</x:f>
      </x:c>
      <x:c r="L149" s="33" t="str">
        <x:f>IF(ISNUMBER(J149),I149*J149,"")</x:f>
      </x:c>
      <x:c r="M149" s="36"/>
      <x:c r="N149" s="37"/>
      <x:c r="O149" s="37"/>
      <x:c r="P149" s="30" t="n">
        <x:f>IF(ISNUMBER(J149),0,1)</x:f>
        <x:v>1</x:v>
      </x:c>
    </x:row>
    <x:row r="150" ht="54" customHeight="1">
      <x:c r="A150" s="30" t="str">
        <x:v>P7 / C3-A7</x:v>
      </x:c>
      <x:c r="B150" s="30" t="str">
        <x:v>C3</x:v>
      </x:c>
      <x:c r="C150" s="30" t="str">
        <x:v>P7</x:v>
      </x:c>
      <x:c r="D150" s="30" t="str">
        <x:v>C3-A7</x:v>
      </x:c>
      <x:c r="E150" s="30" t="str">
        <x:v>Harlem Acevedo Agudelo</x:v>
      </x:c>
      <x:c r="F150" s="30" t="str">
        <x:v>Elaboración técnica</x:v>
      </x:c>
      <x:c r="G150" s="35" t="n">
        <x:v>0.17647058823529413</x:v>
      </x:c>
      <x:c r="H150" s="33" t="n">
        <x:f>INDEX(Actividades!$I$6:$I$104,MATCH(A150,Actividades!$A$6:$A$104,0))</x:f>
        <x:v>0.255</x:v>
      </x:c>
      <x:c r="I150" s="33" t="n">
        <x:f>G150*H150</x:f>
        <x:v>0.045000000000000005</x:v>
      </x:c>
      <x:c r="J150" s="35"/>
      <x:c r="K150" s="33" t="str">
        <x:f>IF(ISNUMBER(J150),G150*J150,"")</x:f>
      </x:c>
      <x:c r="L150" s="33" t="str">
        <x:f>IF(ISNUMBER(J150),I150*J150,"")</x:f>
      </x:c>
      <x:c r="M150" s="36"/>
      <x:c r="N150" s="37"/>
      <x:c r="O150" s="37"/>
      <x:c r="P150" s="30" t="n">
        <x:f>IF(ISNUMBER(J150),0,1)</x:f>
        <x:v>1</x:v>
      </x:c>
    </x:row>
    <x:row r="151" ht="54" customHeight="1">
      <x:c r="A151" s="30" t="str">
        <x:v>P7 / C3-A7</x:v>
      </x:c>
      <x:c r="B151" s="30" t="str">
        <x:v>C3</x:v>
      </x:c>
      <x:c r="C151" s="30" t="str">
        <x:v>P7</x:v>
      </x:c>
      <x:c r="D151" s="30" t="str">
        <x:v>C3-A7</x:v>
      </x:c>
      <x:c r="E151" s="30" t="str">
        <x:v>Vanessa García Leoz</x:v>
      </x:c>
      <x:c r="F151" s="30" t="str">
        <x:v>Elaboración técnica</x:v>
      </x:c>
      <x:c r="G151" s="35" t="n">
        <x:v>0.17647058823529413</x:v>
      </x:c>
      <x:c r="H151" s="33" t="n">
        <x:f>INDEX(Actividades!$I$6:$I$104,MATCH(A151,Actividades!$A$6:$A$104,0))</x:f>
        <x:v>0.255</x:v>
      </x:c>
      <x:c r="I151" s="33" t="n">
        <x:f>G151*H151</x:f>
        <x:v>0.045000000000000005</x:v>
      </x:c>
      <x:c r="J151" s="35"/>
      <x:c r="K151" s="33" t="str">
        <x:f>IF(ISNUMBER(J151),G151*J151,"")</x:f>
      </x:c>
      <x:c r="L151" s="33" t="str">
        <x:f>IF(ISNUMBER(J151),I151*J151,"")</x:f>
      </x:c>
      <x:c r="M151" s="36"/>
      <x:c r="N151" s="37"/>
      <x:c r="O151" s="37"/>
      <x:c r="P151" s="30" t="n">
        <x:f>IF(ISNUMBER(J151),0,1)</x:f>
        <x:v>1</x:v>
      </x:c>
    </x:row>
    <x:row r="152" ht="54" customHeight="1">
      <x:c r="A152" s="30" t="str">
        <x:v>P7 / C3-A7</x:v>
      </x:c>
      <x:c r="B152" s="30" t="str">
        <x:v>C3</x:v>
      </x:c>
      <x:c r="C152" s="30" t="str">
        <x:v>P7</x:v>
      </x:c>
      <x:c r="D152" s="30" t="str">
        <x:v>C3-A7</x:v>
      </x:c>
      <x:c r="E152" s="30" t="str">
        <x:v>Paola Andrea Ruiz Franco</x:v>
      </x:c>
      <x:c r="F152" s="30" t="str">
        <x:v>Coordinación técnica, integración y seguimiento</x:v>
      </x:c>
      <x:c r="G152" s="35" t="n">
        <x:v>0.11764705882352941</x:v>
      </x:c>
      <x:c r="H152" s="33" t="n">
        <x:f>INDEX(Actividades!$I$6:$I$104,MATCH(A152,Actividades!$A$6:$A$104,0))</x:f>
        <x:v>0.255</x:v>
      </x:c>
      <x:c r="I152" s="33" t="n">
        <x:f>G152*H152</x:f>
        <x:v>0.03</x:v>
      </x:c>
      <x:c r="J152" s="35"/>
      <x:c r="K152" s="33" t="str">
        <x:f>IF(ISNUMBER(J152),G152*J152,"")</x:f>
      </x:c>
      <x:c r="L152" s="33" t="str">
        <x:f>IF(ISNUMBER(J152),I152*J152,"")</x:f>
      </x:c>
      <x:c r="M152" s="36"/>
      <x:c r="N152" s="37"/>
      <x:c r="O152" s="37"/>
      <x:c r="P152" s="30" t="n">
        <x:f>IF(ISNUMBER(J152),0,1)</x:f>
        <x:v>1</x:v>
      </x:c>
    </x:row>
    <x:row r="153" ht="54" customHeight="1">
      <x:c r="A153" s="30" t="str">
        <x:v>P7 / R01</x:v>
      </x:c>
      <x:c r="B153" s="30" t="str">
        <x:v>C3</x:v>
      </x:c>
      <x:c r="C153" s="30" t="str">
        <x:v>P7</x:v>
      </x:c>
      <x:c r="D153" s="30" t="str">
        <x:v>R01</x:v>
      </x:c>
      <x:c r="E153" s="30" t="str">
        <x:v>Guillermo Penagos</x:v>
      </x:c>
      <x:c r="F153" s="30" t="str">
        <x:v>Revisión técnica y cierre para envío a Secretaría</x:v>
      </x:c>
      <x:c r="G153" s="35" t="n">
        <x:v>0.5</x:v>
      </x:c>
      <x:c r="H153" s="33" t="n">
        <x:f>INDEX(Actividades!$I$6:$I$104,MATCH(A153,Actividades!$A$6:$A$104,0))</x:f>
        <x:v>0.1</x:v>
      </x:c>
      <x:c r="I153" s="33" t="n">
        <x:f>G153*H153</x:f>
        <x:v>0.05</x:v>
      </x:c>
      <x:c r="J153" s="35"/>
      <x:c r="K153" s="33" t="str">
        <x:f>IF(ISNUMBER(J153),G153*J153,"")</x:f>
      </x:c>
      <x:c r="L153" s="33" t="str">
        <x:f>IF(ISNUMBER(J153),I153*J153,"")</x:f>
      </x:c>
      <x:c r="M153" s="36"/>
      <x:c r="N153" s="37"/>
      <x:c r="O153" s="37"/>
      <x:c r="P153" s="30" t="n">
        <x:f>IF(ISNUMBER(J153),0,1)</x:f>
        <x:v>1</x:v>
      </x:c>
    </x:row>
    <x:row r="154" ht="54" customHeight="1">
      <x:c r="A154" s="30" t="str">
        <x:v>P7 / R01</x:v>
      </x:c>
      <x:c r="B154" s="30" t="str">
        <x:v>C3</x:v>
      </x:c>
      <x:c r="C154" s="30" t="str">
        <x:v>P7</x:v>
      </x:c>
      <x:c r="D154" s="30" t="str">
        <x:v>R01</x:v>
      </x:c>
      <x:c r="E154" s="30" t="str">
        <x:v>María José Suárez</x:v>
      </x:c>
      <x:c r="F154" s="30" t="str">
        <x:v>Revisión integral y cierre para envío a Secretaría</x:v>
      </x:c>
      <x:c r="G154" s="35" t="n">
        <x:v>0.5</x:v>
      </x:c>
      <x:c r="H154" s="33" t="n">
        <x:f>INDEX(Actividades!$I$6:$I$104,MATCH(A154,Actividades!$A$6:$A$104,0))</x:f>
        <x:v>0.1</x:v>
      </x:c>
      <x:c r="I154" s="33" t="n">
        <x:f>G154*H154</x:f>
        <x:v>0.05</x:v>
      </x:c>
      <x:c r="J154" s="35"/>
      <x:c r="K154" s="33" t="str">
        <x:f>IF(ISNUMBER(J154),G154*J154,"")</x:f>
      </x:c>
      <x:c r="L154" s="33" t="str">
        <x:f>IF(ISNUMBER(J154),I154*J154,"")</x:f>
      </x:c>
      <x:c r="M154" s="36"/>
      <x:c r="N154" s="37"/>
      <x:c r="O154" s="37"/>
      <x:c r="P154" s="30" t="n">
        <x:f>IF(ISNUMBER(J154),0,1)</x:f>
        <x:v>1</x:v>
      </x:c>
    </x:row>
    <x:row r="155" ht="54" customHeight="1">
      <x:c r="A155" s="30" t="str">
        <x:v>P7 / R02</x:v>
      </x:c>
      <x:c r="B155" s="30" t="str">
        <x:v>C3</x:v>
      </x:c>
      <x:c r="C155" s="30" t="str">
        <x:v>P7</x:v>
      </x:c>
      <x:c r="D155" s="30" t="str">
        <x:v>R02</x:v>
      </x:c>
      <x:c r="E155" s="30" t="str">
        <x:v>Juana — Secretaría de Medio Ambiente</x:v>
      </x:c>
      <x:c r="F155" s="30" t="str">
        <x:v>Validación y revisión final institucional</x:v>
      </x:c>
      <x:c r="G155" s="35" t="n">
        <x:v>1</x:v>
      </x:c>
      <x:c r="H155" s="33" t="n">
        <x:f>INDEX(Actividades!$I$6:$I$104,MATCH(A155,Actividades!$A$6:$A$104,0))</x:f>
        <x:v>0.05</x:v>
      </x:c>
      <x:c r="I155" s="33" t="n">
        <x:f>G155*H155</x:f>
        <x:v>0.05</x:v>
      </x:c>
      <x:c r="J155" s="35"/>
      <x:c r="K155" s="33" t="str">
        <x:f>IF(ISNUMBER(J155),G155*J155,"")</x:f>
      </x:c>
      <x:c r="L155" s="33" t="str">
        <x:f>IF(ISNUMBER(J155),I155*J155,"")</x:f>
      </x:c>
      <x:c r="M155" s="36"/>
      <x:c r="N155" s="37"/>
      <x:c r="O155" s="37"/>
      <x:c r="P155" s="30" t="n">
        <x:f>IF(ISNUMBER(J155),0,1)</x:f>
        <x:v>1</x:v>
      </x:c>
    </x:row>
    <x:row r="156" ht="54" customHeight="1">
      <x:c r="A156" s="30" t="str">
        <x:v>P8 / C4-A1</x:v>
      </x:c>
      <x:c r="B156" s="30" t="str">
        <x:v>C4</x:v>
      </x:c>
      <x:c r="C156" s="30" t="str">
        <x:v>P8</x:v>
      </x:c>
      <x:c r="D156" s="30" t="str">
        <x:v>C4-A1</x:v>
      </x:c>
      <x:c r="E156" s="30" t="str">
        <x:v>Daniel González Montoya</x:v>
      </x:c>
      <x:c r="F156" s="30" t="str">
        <x:v>Elaboración técnica</x:v>
      </x:c>
      <x:c r="G156" s="35" t="n">
        <x:v>0.5882352941176471</x:v>
      </x:c>
      <x:c r="H156" s="33" t="n">
        <x:f>INDEX(Actividades!$I$6:$I$104,MATCH(A156,Actividades!$A$6:$A$104,0))</x:f>
        <x:v>0.17</x:v>
      </x:c>
      <x:c r="I156" s="33" t="n">
        <x:f>G156*H156</x:f>
        <x:v>0.1</x:v>
      </x:c>
      <x:c r="J156" s="35"/>
      <x:c r="K156" s="33" t="str">
        <x:f>IF(ISNUMBER(J156),G156*J156,"")</x:f>
      </x:c>
      <x:c r="L156" s="33" t="str">
        <x:f>IF(ISNUMBER(J156),I156*J156,"")</x:f>
      </x:c>
      <x:c r="M156" s="36"/>
      <x:c r="N156" s="37"/>
      <x:c r="O156" s="37"/>
      <x:c r="P156" s="30" t="n">
        <x:f>IF(ISNUMBER(J156),0,1)</x:f>
        <x:v>1</x:v>
      </x:c>
    </x:row>
    <x:row r="157" ht="54" customHeight="1">
      <x:c r="A157" s="30" t="str">
        <x:v>P8 / C4-A1</x:v>
      </x:c>
      <x:c r="B157" s="30" t="str">
        <x:v>C4</x:v>
      </x:c>
      <x:c r="C157" s="30" t="str">
        <x:v>P8</x:v>
      </x:c>
      <x:c r="D157" s="30" t="str">
        <x:v>C4-A1</x:v>
      </x:c>
      <x:c r="E157" s="30" t="str">
        <x:v>Sebastián Cartagena</x:v>
      </x:c>
      <x:c r="F157" s="30" t="str">
        <x:v>Apoyo técnico</x:v>
      </x:c>
      <x:c r="G157" s="35" t="n">
        <x:v>0.29411764705882354</x:v>
      </x:c>
      <x:c r="H157" s="33" t="n">
        <x:f>INDEX(Actividades!$I$6:$I$104,MATCH(A157,Actividades!$A$6:$A$104,0))</x:f>
        <x:v>0.17</x:v>
      </x:c>
      <x:c r="I157" s="33" t="n">
        <x:f>G157*H157</x:f>
        <x:v>0.05</x:v>
      </x:c>
      <x:c r="J157" s="35"/>
      <x:c r="K157" s="33" t="str">
        <x:f>IF(ISNUMBER(J157),G157*J157,"")</x:f>
      </x:c>
      <x:c r="L157" s="33" t="str">
        <x:f>IF(ISNUMBER(J157),I157*J157,"")</x:f>
      </x:c>
      <x:c r="M157" s="36"/>
      <x:c r="N157" s="37"/>
      <x:c r="O157" s="37"/>
      <x:c r="P157" s="30" t="n">
        <x:f>IF(ISNUMBER(J157),0,1)</x:f>
        <x:v>1</x:v>
      </x:c>
    </x:row>
    <x:row r="158" ht="54" customHeight="1">
      <x:c r="A158" s="30" t="str">
        <x:v>P8 / C4-A1</x:v>
      </x:c>
      <x:c r="B158" s="30" t="str">
        <x:v>C4</x:v>
      </x:c>
      <x:c r="C158" s="30" t="str">
        <x:v>P8</x:v>
      </x:c>
      <x:c r="D158" s="30" t="str">
        <x:v>C4-A1</x:v>
      </x:c>
      <x:c r="E158" s="30" t="str">
        <x:v>Paola Andrea Ruiz Franco</x:v>
      </x:c>
      <x:c r="F158" s="30" t="str">
        <x:v>Coordinación técnica, integración y seguimiento</x:v>
      </x:c>
      <x:c r="G158" s="35" t="n">
        <x:v>0.11764705882352941</x:v>
      </x:c>
      <x:c r="H158" s="33" t="n">
        <x:f>INDEX(Actividades!$I$6:$I$104,MATCH(A158,Actividades!$A$6:$A$104,0))</x:f>
        <x:v>0.17</x:v>
      </x:c>
      <x:c r="I158" s="33" t="n">
        <x:f>G158*H158</x:f>
        <x:v>0.02</x:v>
      </x:c>
      <x:c r="J158" s="35"/>
      <x:c r="K158" s="33" t="str">
        <x:f>IF(ISNUMBER(J158),G158*J158,"")</x:f>
      </x:c>
      <x:c r="L158" s="33" t="str">
        <x:f>IF(ISNUMBER(J158),I158*J158,"")</x:f>
      </x:c>
      <x:c r="M158" s="36"/>
      <x:c r="N158" s="37"/>
      <x:c r="O158" s="37"/>
      <x:c r="P158" s="30" t="n">
        <x:f>IF(ISNUMBER(J158),0,1)</x:f>
        <x:v>1</x:v>
      </x:c>
    </x:row>
    <x:row r="159" ht="54" customHeight="1">
      <x:c r="A159" s="30" t="str">
        <x:v>P8 / C4-A2</x:v>
      </x:c>
      <x:c r="B159" s="30" t="str">
        <x:v>C4</x:v>
      </x:c>
      <x:c r="C159" s="30" t="str">
        <x:v>P8</x:v>
      </x:c>
      <x:c r="D159" s="30" t="str">
        <x:v>C4-A2</x:v>
      </x:c>
      <x:c r="E159" s="30" t="str">
        <x:v>Daniel González Montoya</x:v>
      </x:c>
      <x:c r="F159" s="30" t="str">
        <x:v>Elaboración técnica</x:v>
      </x:c>
      <x:c r="G159" s="35" t="n">
        <x:v>0.35294117647058826</x:v>
      </x:c>
      <x:c r="H159" s="33" t="n">
        <x:f>INDEX(Actividades!$I$6:$I$104,MATCH(A159,Actividades!$A$6:$A$104,0))</x:f>
        <x:v>0.17</x:v>
      </x:c>
      <x:c r="I159" s="33" t="n">
        <x:f>G159*H159</x:f>
        <x:v>0.06000000000000001</x:v>
      </x:c>
      <x:c r="J159" s="35"/>
      <x:c r="K159" s="33" t="str">
        <x:f>IF(ISNUMBER(J159),G159*J159,"")</x:f>
      </x:c>
      <x:c r="L159" s="33" t="str">
        <x:f>IF(ISNUMBER(J159),I159*J159,"")</x:f>
      </x:c>
      <x:c r="M159" s="36"/>
      <x:c r="N159" s="37"/>
      <x:c r="O159" s="37"/>
      <x:c r="P159" s="30" t="n">
        <x:f>IF(ISNUMBER(J159),0,1)</x:f>
        <x:v>1</x:v>
      </x:c>
    </x:row>
    <x:row r="160" ht="54" customHeight="1">
      <x:c r="A160" s="30" t="str">
        <x:v>P8 / C4-A2</x:v>
      </x:c>
      <x:c r="B160" s="30" t="str">
        <x:v>C4</x:v>
      </x:c>
      <x:c r="C160" s="30" t="str">
        <x:v>P8</x:v>
      </x:c>
      <x:c r="D160" s="30" t="str">
        <x:v>C4-A2</x:v>
      </x:c>
      <x:c r="E160" s="30" t="str">
        <x:v>Sebastián Cartagena</x:v>
      </x:c>
      <x:c r="F160" s="30" t="str">
        <x:v>Elaboración técnica</x:v>
      </x:c>
      <x:c r="G160" s="35" t="n">
        <x:v>0.35294117647058826</x:v>
      </x:c>
      <x:c r="H160" s="33" t="n">
        <x:f>INDEX(Actividades!$I$6:$I$104,MATCH(A160,Actividades!$A$6:$A$104,0))</x:f>
        <x:v>0.17</x:v>
      </x:c>
      <x:c r="I160" s="33" t="n">
        <x:f>G160*H160</x:f>
        <x:v>0.06000000000000001</x:v>
      </x:c>
      <x:c r="J160" s="35"/>
      <x:c r="K160" s="33" t="str">
        <x:f>IF(ISNUMBER(J160),G160*J160,"")</x:f>
      </x:c>
      <x:c r="L160" s="33" t="str">
        <x:f>IF(ISNUMBER(J160),I160*J160,"")</x:f>
      </x:c>
      <x:c r="M160" s="36"/>
      <x:c r="N160" s="37"/>
      <x:c r="O160" s="37"/>
      <x:c r="P160" s="30" t="n">
        <x:f>IF(ISNUMBER(J160),0,1)</x:f>
        <x:v>1</x:v>
      </x:c>
    </x:row>
    <x:row r="161" ht="54" customHeight="1">
      <x:c r="A161" s="30" t="str">
        <x:v>P8 / C4-A2</x:v>
      </x:c>
      <x:c r="B161" s="30" t="str">
        <x:v>C4</x:v>
      </x:c>
      <x:c r="C161" s="30" t="str">
        <x:v>P8</x:v>
      </x:c>
      <x:c r="D161" s="30" t="str">
        <x:v>C4-A2</x:v>
      </x:c>
      <x:c r="E161" s="30" t="str">
        <x:v>Luis Eduardo Vahos Hernández</x:v>
      </x:c>
      <x:c r="F161" s="30" t="str">
        <x:v>Apoyo técnico</x:v>
      </x:c>
      <x:c r="G161" s="35" t="n">
        <x:v>0.17647058823529413</x:v>
      </x:c>
      <x:c r="H161" s="33" t="n">
        <x:f>INDEX(Actividades!$I$6:$I$104,MATCH(A161,Actividades!$A$6:$A$104,0))</x:f>
        <x:v>0.17</x:v>
      </x:c>
      <x:c r="I161" s="33" t="n">
        <x:f>G161*H161</x:f>
        <x:v>0.030000000000000006</x:v>
      </x:c>
      <x:c r="J161" s="35"/>
      <x:c r="K161" s="33" t="str">
        <x:f>IF(ISNUMBER(J161),G161*J161,"")</x:f>
      </x:c>
      <x:c r="L161" s="33" t="str">
        <x:f>IF(ISNUMBER(J161),I161*J161,"")</x:f>
      </x:c>
      <x:c r="M161" s="36"/>
      <x:c r="N161" s="37"/>
      <x:c r="O161" s="37"/>
      <x:c r="P161" s="30" t="n">
        <x:f>IF(ISNUMBER(J161),0,1)</x:f>
        <x:v>1</x:v>
      </x:c>
    </x:row>
    <x:row r="162" ht="54" customHeight="1">
      <x:c r="A162" s="30" t="str">
        <x:v>P8 / C4-A2</x:v>
      </x:c>
      <x:c r="B162" s="30" t="str">
        <x:v>C4</x:v>
      </x:c>
      <x:c r="C162" s="30" t="str">
        <x:v>P8</x:v>
      </x:c>
      <x:c r="D162" s="30" t="str">
        <x:v>C4-A2</x:v>
      </x:c>
      <x:c r="E162" s="30" t="str">
        <x:v>Paola Andrea Ruiz Franco</x:v>
      </x:c>
      <x:c r="F162" s="30" t="str">
        <x:v>Coordinación técnica, integración y seguimiento</x:v>
      </x:c>
      <x:c r="G162" s="35" t="n">
        <x:v>0.11764705882352941</x:v>
      </x:c>
      <x:c r="H162" s="33" t="n">
        <x:f>INDEX(Actividades!$I$6:$I$104,MATCH(A162,Actividades!$A$6:$A$104,0))</x:f>
        <x:v>0.17</x:v>
      </x:c>
      <x:c r="I162" s="33" t="n">
        <x:f>G162*H162</x:f>
        <x:v>0.02</x:v>
      </x:c>
      <x:c r="J162" s="35"/>
      <x:c r="K162" s="33" t="str">
        <x:f>IF(ISNUMBER(J162),G162*J162,"")</x:f>
      </x:c>
      <x:c r="L162" s="33" t="str">
        <x:f>IF(ISNUMBER(J162),I162*J162,"")</x:f>
      </x:c>
      <x:c r="M162" s="36"/>
      <x:c r="N162" s="37"/>
      <x:c r="O162" s="37"/>
      <x:c r="P162" s="30" t="n">
        <x:f>IF(ISNUMBER(J162),0,1)</x:f>
        <x:v>1</x:v>
      </x:c>
    </x:row>
    <x:row r="163" ht="54" customHeight="1">
      <x:c r="A163" s="30" t="str">
        <x:v>P8 / C4-A3</x:v>
      </x:c>
      <x:c r="B163" s="30" t="str">
        <x:v>C4</x:v>
      </x:c>
      <x:c r="C163" s="30" t="str">
        <x:v>P8</x:v>
      </x:c>
      <x:c r="D163" s="30" t="str">
        <x:v>C4-A3</x:v>
      </x:c>
      <x:c r="E163" s="30" t="str">
        <x:v>Daniel González Montoya</x:v>
      </x:c>
      <x:c r="F163" s="30" t="str">
        <x:v>Elaboración técnica</x:v>
      </x:c>
      <x:c r="G163" s="35" t="n">
        <x:v>0.35294117647058826</x:v>
      </x:c>
      <x:c r="H163" s="33" t="n">
        <x:f>INDEX(Actividades!$I$6:$I$104,MATCH(A163,Actividades!$A$6:$A$104,0))</x:f>
        <x:v>0.2125</x:v>
      </x:c>
      <x:c r="I163" s="33" t="n">
        <x:f>G163*H163</x:f>
        <x:v>0.075</x:v>
      </x:c>
      <x:c r="J163" s="35"/>
      <x:c r="K163" s="33" t="str">
        <x:f>IF(ISNUMBER(J163),G163*J163,"")</x:f>
      </x:c>
      <x:c r="L163" s="33" t="str">
        <x:f>IF(ISNUMBER(J163),I163*J163,"")</x:f>
      </x:c>
      <x:c r="M163" s="36"/>
      <x:c r="N163" s="37"/>
      <x:c r="O163" s="37"/>
      <x:c r="P163" s="30" t="n">
        <x:f>IF(ISNUMBER(J163),0,1)</x:f>
        <x:v>1</x:v>
      </x:c>
    </x:row>
    <x:row r="164" ht="54" customHeight="1">
      <x:c r="A164" s="30" t="str">
        <x:v>P8 / C4-A3</x:v>
      </x:c>
      <x:c r="B164" s="30" t="str">
        <x:v>C4</x:v>
      </x:c>
      <x:c r="C164" s="30" t="str">
        <x:v>P8</x:v>
      </x:c>
      <x:c r="D164" s="30" t="str">
        <x:v>C4-A3</x:v>
      </x:c>
      <x:c r="E164" s="30" t="str">
        <x:v>Sebastián Cartagena</x:v>
      </x:c>
      <x:c r="F164" s="30" t="str">
        <x:v>Elaboración técnica</x:v>
      </x:c>
      <x:c r="G164" s="35" t="n">
        <x:v>0.35294117647058826</x:v>
      </x:c>
      <x:c r="H164" s="33" t="n">
        <x:f>INDEX(Actividades!$I$6:$I$104,MATCH(A164,Actividades!$A$6:$A$104,0))</x:f>
        <x:v>0.2125</x:v>
      </x:c>
      <x:c r="I164" s="33" t="n">
        <x:f>G164*H164</x:f>
        <x:v>0.075</x:v>
      </x:c>
      <x:c r="J164" s="35"/>
      <x:c r="K164" s="33" t="str">
        <x:f>IF(ISNUMBER(J164),G164*J164,"")</x:f>
      </x:c>
      <x:c r="L164" s="33" t="str">
        <x:f>IF(ISNUMBER(J164),I164*J164,"")</x:f>
      </x:c>
      <x:c r="M164" s="36"/>
      <x:c r="N164" s="37"/>
      <x:c r="O164" s="37"/>
      <x:c r="P164" s="30" t="n">
        <x:f>IF(ISNUMBER(J164),0,1)</x:f>
        <x:v>1</x:v>
      </x:c>
    </x:row>
    <x:row r="165" ht="54" customHeight="1">
      <x:c r="A165" s="30" t="str">
        <x:v>P8 / C4-A3</x:v>
      </x:c>
      <x:c r="B165" s="30" t="str">
        <x:v>C4</x:v>
      </x:c>
      <x:c r="C165" s="30" t="str">
        <x:v>P8</x:v>
      </x:c>
      <x:c r="D165" s="30" t="str">
        <x:v>C4-A3</x:v>
      </x:c>
      <x:c r="E165" s="30" t="str">
        <x:v>Liliana Restrepo</x:v>
      </x:c>
      <x:c r="F165" s="30" t="str">
        <x:v>Apoyo técnico</x:v>
      </x:c>
      <x:c r="G165" s="35" t="n">
        <x:v>0.17647058823529413</x:v>
      </x:c>
      <x:c r="H165" s="33" t="n">
        <x:f>INDEX(Actividades!$I$6:$I$104,MATCH(A165,Actividades!$A$6:$A$104,0))</x:f>
        <x:v>0.2125</x:v>
      </x:c>
      <x:c r="I165" s="33" t="n">
        <x:f>G165*H165</x:f>
        <x:v>0.0375</x:v>
      </x:c>
      <x:c r="J165" s="35"/>
      <x:c r="K165" s="33" t="str">
        <x:f>IF(ISNUMBER(J165),G165*J165,"")</x:f>
      </x:c>
      <x:c r="L165" s="33" t="str">
        <x:f>IF(ISNUMBER(J165),I165*J165,"")</x:f>
      </x:c>
      <x:c r="M165" s="36"/>
      <x:c r="N165" s="37"/>
      <x:c r="O165" s="37"/>
      <x:c r="P165" s="30" t="n">
        <x:f>IF(ISNUMBER(J165),0,1)</x:f>
        <x:v>1</x:v>
      </x:c>
    </x:row>
    <x:row r="166" ht="54" customHeight="1">
      <x:c r="A166" s="30" t="str">
        <x:v>P8 / C4-A3</x:v>
      </x:c>
      <x:c r="B166" s="30" t="str">
        <x:v>C4</x:v>
      </x:c>
      <x:c r="C166" s="30" t="str">
        <x:v>P8</x:v>
      </x:c>
      <x:c r="D166" s="30" t="str">
        <x:v>C4-A3</x:v>
      </x:c>
      <x:c r="E166" s="30" t="str">
        <x:v>Paola Andrea Ruiz Franco</x:v>
      </x:c>
      <x:c r="F166" s="30" t="str">
        <x:v>Coordinación técnica, integración y seguimiento</x:v>
      </x:c>
      <x:c r="G166" s="35" t="n">
        <x:v>0.11764705882352941</x:v>
      </x:c>
      <x:c r="H166" s="33" t="n">
        <x:f>INDEX(Actividades!$I$6:$I$104,MATCH(A166,Actividades!$A$6:$A$104,0))</x:f>
        <x:v>0.2125</x:v>
      </x:c>
      <x:c r="I166" s="33" t="n">
        <x:f>G166*H166</x:f>
        <x:v>0.024999999999999998</x:v>
      </x:c>
      <x:c r="J166" s="35"/>
      <x:c r="K166" s="33" t="str">
        <x:f>IF(ISNUMBER(J166),G166*J166,"")</x:f>
      </x:c>
      <x:c r="L166" s="33" t="str">
        <x:f>IF(ISNUMBER(J166),I166*J166,"")</x:f>
      </x:c>
      <x:c r="M166" s="36"/>
      <x:c r="N166" s="37"/>
      <x:c r="O166" s="37"/>
      <x:c r="P166" s="30" t="n">
        <x:f>IF(ISNUMBER(J166),0,1)</x:f>
        <x:v>1</x:v>
      </x:c>
    </x:row>
    <x:row r="167" ht="54" customHeight="1">
      <x:c r="A167" s="30" t="str">
        <x:v>P8 / C4-A4</x:v>
      </x:c>
      <x:c r="B167" s="30" t="str">
        <x:v>C4</x:v>
      </x:c>
      <x:c r="C167" s="30" t="str">
        <x:v>P8</x:v>
      </x:c>
      <x:c r="D167" s="30" t="str">
        <x:v>C4-A4</x:v>
      </x:c>
      <x:c r="E167" s="30" t="str">
        <x:v>Liliana Restrepo</x:v>
      </x:c>
      <x:c r="F167" s="30" t="str">
        <x:v>Elaboración técnica</x:v>
      </x:c>
      <x:c r="G167" s="35" t="n">
        <x:v>0.35294117647058826</x:v>
      </x:c>
      <x:c r="H167" s="33" t="n">
        <x:f>INDEX(Actividades!$I$6:$I$104,MATCH(A167,Actividades!$A$6:$A$104,0))</x:f>
        <x:v>0.17</x:v>
      </x:c>
      <x:c r="I167" s="33" t="n">
        <x:f>G167*H167</x:f>
        <x:v>0.06000000000000001</x:v>
      </x:c>
      <x:c r="J167" s="35"/>
      <x:c r="K167" s="33" t="str">
        <x:f>IF(ISNUMBER(J167),G167*J167,"")</x:f>
      </x:c>
      <x:c r="L167" s="33" t="str">
        <x:f>IF(ISNUMBER(J167),I167*J167,"")</x:f>
      </x:c>
      <x:c r="M167" s="36"/>
      <x:c r="N167" s="37"/>
      <x:c r="O167" s="37"/>
      <x:c r="P167" s="30" t="n">
        <x:f>IF(ISNUMBER(J167),0,1)</x:f>
        <x:v>1</x:v>
      </x:c>
    </x:row>
    <x:row r="168" ht="54" customHeight="1">
      <x:c r="A168" s="30" t="str">
        <x:v>P8 / C4-A4</x:v>
      </x:c>
      <x:c r="B168" s="30" t="str">
        <x:v>C4</x:v>
      </x:c>
      <x:c r="C168" s="30" t="str">
        <x:v>P8</x:v>
      </x:c>
      <x:c r="D168" s="30" t="str">
        <x:v>C4-A4</x:v>
      </x:c>
      <x:c r="E168" s="30" t="str">
        <x:v>Curaduría Museo</x:v>
      </x:c>
      <x:c r="F168" s="30" t="str">
        <x:v>Corresponsable de apropiación social y divulgación</x:v>
      </x:c>
      <x:c r="G168" s="35" t="n">
        <x:v>0.35294117647058826</x:v>
      </x:c>
      <x:c r="H168" s="33" t="n">
        <x:f>INDEX(Actividades!$I$6:$I$104,MATCH(A168,Actividades!$A$6:$A$104,0))</x:f>
        <x:v>0.17</x:v>
      </x:c>
      <x:c r="I168" s="33" t="n">
        <x:f>G168*H168</x:f>
        <x:v>0.06000000000000001</x:v>
      </x:c>
      <x:c r="J168" s="35"/>
      <x:c r="K168" s="33" t="str">
        <x:f>IF(ISNUMBER(J168),G168*J168,"")</x:f>
      </x:c>
      <x:c r="L168" s="33" t="str">
        <x:f>IF(ISNUMBER(J168),I168*J168,"")</x:f>
      </x:c>
      <x:c r="M168" s="36"/>
      <x:c r="N168" s="37"/>
      <x:c r="O168" s="37"/>
      <x:c r="P168" s="30" t="n">
        <x:f>IF(ISNUMBER(J168),0,1)</x:f>
        <x:v>1</x:v>
      </x:c>
    </x:row>
    <x:row r="169" ht="54" customHeight="1">
      <x:c r="A169" s="30" t="str">
        <x:v>P8 / C4-A4</x:v>
      </x:c>
      <x:c r="B169" s="30" t="str">
        <x:v>C4</x:v>
      </x:c>
      <x:c r="C169" s="30" t="str">
        <x:v>P8</x:v>
      </x:c>
      <x:c r="D169" s="30" t="str">
        <x:v>C4-A4</x:v>
      </x:c>
      <x:c r="E169" s="30" t="str">
        <x:v>Daniel González Montoya</x:v>
      </x:c>
      <x:c r="F169" s="30" t="str">
        <x:v>Apoyo técnico</x:v>
      </x:c>
      <x:c r="G169" s="35" t="n">
        <x:v>0.17647058823529413</x:v>
      </x:c>
      <x:c r="H169" s="33" t="n">
        <x:f>INDEX(Actividades!$I$6:$I$104,MATCH(A169,Actividades!$A$6:$A$104,0))</x:f>
        <x:v>0.17</x:v>
      </x:c>
      <x:c r="I169" s="33" t="n">
        <x:f>G169*H169</x:f>
        <x:v>0.030000000000000006</x:v>
      </x:c>
      <x:c r="J169" s="35"/>
      <x:c r="K169" s="33" t="str">
        <x:f>IF(ISNUMBER(J169),G169*J169,"")</x:f>
      </x:c>
      <x:c r="L169" s="33" t="str">
        <x:f>IF(ISNUMBER(J169),I169*J169,"")</x:f>
      </x:c>
      <x:c r="M169" s="36"/>
      <x:c r="N169" s="37"/>
      <x:c r="O169" s="37"/>
      <x:c r="P169" s="30" t="n">
        <x:f>IF(ISNUMBER(J169),0,1)</x:f>
        <x:v>1</x:v>
      </x:c>
    </x:row>
    <x:row r="170" ht="54" customHeight="1">
      <x:c r="A170" s="30" t="str">
        <x:v>P8 / C4-A4</x:v>
      </x:c>
      <x:c r="B170" s="30" t="str">
        <x:v>C4</x:v>
      </x:c>
      <x:c r="C170" s="30" t="str">
        <x:v>P8</x:v>
      </x:c>
      <x:c r="D170" s="30" t="str">
        <x:v>C4-A4</x:v>
      </x:c>
      <x:c r="E170" s="30" t="str">
        <x:v>Paola Andrea Ruiz Franco</x:v>
      </x:c>
      <x:c r="F170" s="30" t="str">
        <x:v>Coordinación técnica, integración y seguimiento</x:v>
      </x:c>
      <x:c r="G170" s="35" t="n">
        <x:v>0.11764705882352941</x:v>
      </x:c>
      <x:c r="H170" s="33" t="n">
        <x:f>INDEX(Actividades!$I$6:$I$104,MATCH(A170,Actividades!$A$6:$A$104,0))</x:f>
        <x:v>0.17</x:v>
      </x:c>
      <x:c r="I170" s="33" t="n">
        <x:f>G170*H170</x:f>
        <x:v>0.02</x:v>
      </x:c>
      <x:c r="J170" s="35"/>
      <x:c r="K170" s="33" t="str">
        <x:f>IF(ISNUMBER(J170),G170*J170,"")</x:f>
      </x:c>
      <x:c r="L170" s="33" t="str">
        <x:f>IF(ISNUMBER(J170),I170*J170,"")</x:f>
      </x:c>
      <x:c r="M170" s="36"/>
      <x:c r="N170" s="37"/>
      <x:c r="O170" s="37"/>
      <x:c r="P170" s="30" t="n">
        <x:f>IF(ISNUMBER(J170),0,1)</x:f>
        <x:v>1</x:v>
      </x:c>
    </x:row>
    <x:row r="171" ht="54" customHeight="1">
      <x:c r="A171" s="30" t="str">
        <x:v>P8 / C4-A5</x:v>
      </x:c>
      <x:c r="B171" s="30" t="str">
        <x:v>C4</x:v>
      </x:c>
      <x:c r="C171" s="30" t="str">
        <x:v>P8</x:v>
      </x:c>
      <x:c r="D171" s="30" t="str">
        <x:v>C4-A5</x:v>
      </x:c>
      <x:c r="E171" s="30" t="str">
        <x:v>Luis Eduardo Vahos Hernández</x:v>
      </x:c>
      <x:c r="F171" s="30" t="str">
        <x:v>Elaboración técnica</x:v>
      </x:c>
      <x:c r="G171" s="35" t="n">
        <x:v>0.35294117647058826</x:v>
      </x:c>
      <x:c r="H171" s="33" t="n">
        <x:f>INDEX(Actividades!$I$6:$I$104,MATCH(A171,Actividades!$A$6:$A$104,0))</x:f>
        <x:v>0.1275</x:v>
      </x:c>
      <x:c r="I171" s="33" t="n">
        <x:f>G171*H171</x:f>
        <x:v>0.045000000000000005</x:v>
      </x:c>
      <x:c r="J171" s="35"/>
      <x:c r="K171" s="33" t="str">
        <x:f>IF(ISNUMBER(J171),G171*J171,"")</x:f>
      </x:c>
      <x:c r="L171" s="33" t="str">
        <x:f>IF(ISNUMBER(J171),I171*J171,"")</x:f>
      </x:c>
      <x:c r="M171" s="36"/>
      <x:c r="N171" s="37"/>
      <x:c r="O171" s="37"/>
      <x:c r="P171" s="30" t="n">
        <x:f>IF(ISNUMBER(J171),0,1)</x:f>
        <x:v>1</x:v>
      </x:c>
    </x:row>
    <x:row r="172" ht="54" customHeight="1">
      <x:c r="A172" s="30" t="str">
        <x:v>P8 / C4-A5</x:v>
      </x:c>
      <x:c r="B172" s="30" t="str">
        <x:v>C4</x:v>
      </x:c>
      <x:c r="C172" s="30" t="str">
        <x:v>P8</x:v>
      </x:c>
      <x:c r="D172" s="30" t="str">
        <x:v>C4-A5</x:v>
      </x:c>
      <x:c r="E172" s="30" t="str">
        <x:v>León Darío Orrego Espejo</x:v>
      </x:c>
      <x:c r="F172" s="30" t="str">
        <x:v>Elaboración técnica</x:v>
      </x:c>
      <x:c r="G172" s="35" t="n">
        <x:v>0.35294117647058826</x:v>
      </x:c>
      <x:c r="H172" s="33" t="n">
        <x:f>INDEX(Actividades!$I$6:$I$104,MATCH(A172,Actividades!$A$6:$A$104,0))</x:f>
        <x:v>0.1275</x:v>
      </x:c>
      <x:c r="I172" s="33" t="n">
        <x:f>G172*H172</x:f>
        <x:v>0.045000000000000005</x:v>
      </x:c>
      <x:c r="J172" s="35"/>
      <x:c r="K172" s="33" t="str">
        <x:f>IF(ISNUMBER(J172),G172*J172,"")</x:f>
      </x:c>
      <x:c r="L172" s="33" t="str">
        <x:f>IF(ISNUMBER(J172),I172*J172,"")</x:f>
      </x:c>
      <x:c r="M172" s="36"/>
      <x:c r="N172" s="37"/>
      <x:c r="O172" s="37"/>
      <x:c r="P172" s="30" t="n">
        <x:f>IF(ISNUMBER(J172),0,1)</x:f>
        <x:v>1</x:v>
      </x:c>
    </x:row>
    <x:row r="173" ht="54" customHeight="1">
      <x:c r="A173" s="30" t="str">
        <x:v>P8 / C4-A5</x:v>
      </x:c>
      <x:c r="B173" s="30" t="str">
        <x:v>C4</x:v>
      </x:c>
      <x:c r="C173" s="30" t="str">
        <x:v>P8</x:v>
      </x:c>
      <x:c r="D173" s="30" t="str">
        <x:v>C4-A5</x:v>
      </x:c>
      <x:c r="E173" s="30" t="str">
        <x:v>Daniel González Montoya</x:v>
      </x:c>
      <x:c r="F173" s="30" t="str">
        <x:v>Apoyo técnico</x:v>
      </x:c>
      <x:c r="G173" s="35" t="n">
        <x:v>0.17647058823529413</x:v>
      </x:c>
      <x:c r="H173" s="33" t="n">
        <x:f>INDEX(Actividades!$I$6:$I$104,MATCH(A173,Actividades!$A$6:$A$104,0))</x:f>
        <x:v>0.1275</x:v>
      </x:c>
      <x:c r="I173" s="33" t="n">
        <x:f>G173*H173</x:f>
        <x:v>0.022500000000000003</x:v>
      </x:c>
      <x:c r="J173" s="35"/>
      <x:c r="K173" s="33" t="str">
        <x:f>IF(ISNUMBER(J173),G173*J173,"")</x:f>
      </x:c>
      <x:c r="L173" s="33" t="str">
        <x:f>IF(ISNUMBER(J173),I173*J173,"")</x:f>
      </x:c>
      <x:c r="M173" s="36"/>
      <x:c r="N173" s="37"/>
      <x:c r="O173" s="37"/>
      <x:c r="P173" s="30" t="n">
        <x:f>IF(ISNUMBER(J173),0,1)</x:f>
        <x:v>1</x:v>
      </x:c>
    </x:row>
    <x:row r="174" ht="54" customHeight="1">
      <x:c r="A174" s="30" t="str">
        <x:v>P8 / C4-A5</x:v>
      </x:c>
      <x:c r="B174" s="30" t="str">
        <x:v>C4</x:v>
      </x:c>
      <x:c r="C174" s="30" t="str">
        <x:v>P8</x:v>
      </x:c>
      <x:c r="D174" s="30" t="str">
        <x:v>C4-A5</x:v>
      </x:c>
      <x:c r="E174" s="30" t="str">
        <x:v>Paola Andrea Ruiz Franco</x:v>
      </x:c>
      <x:c r="F174" s="30" t="str">
        <x:v>Coordinación técnica, integración y seguimiento</x:v>
      </x:c>
      <x:c r="G174" s="35" t="n">
        <x:v>0.11764705882352941</x:v>
      </x:c>
      <x:c r="H174" s="33" t="n">
        <x:f>INDEX(Actividades!$I$6:$I$104,MATCH(A174,Actividades!$A$6:$A$104,0))</x:f>
        <x:v>0.1275</x:v>
      </x:c>
      <x:c r="I174" s="33" t="n">
        <x:f>G174*H174</x:f>
        <x:v>0.015</x:v>
      </x:c>
      <x:c r="J174" s="35"/>
      <x:c r="K174" s="33" t="str">
        <x:f>IF(ISNUMBER(J174),G174*J174,"")</x:f>
      </x:c>
      <x:c r="L174" s="33" t="str">
        <x:f>IF(ISNUMBER(J174),I174*J174,"")</x:f>
      </x:c>
      <x:c r="M174" s="36"/>
      <x:c r="N174" s="37"/>
      <x:c r="O174" s="37"/>
      <x:c r="P174" s="30" t="n">
        <x:f>IF(ISNUMBER(J174),0,1)</x:f>
        <x:v>1</x:v>
      </x:c>
    </x:row>
    <x:row r="175" ht="54" customHeight="1">
      <x:c r="A175" s="30" t="str">
        <x:v>P8 / R01</x:v>
      </x:c>
      <x:c r="B175" s="30" t="str">
        <x:v>C4</x:v>
      </x:c>
      <x:c r="C175" s="30" t="str">
        <x:v>P8</x:v>
      </x:c>
      <x:c r="D175" s="30" t="str">
        <x:v>R01</x:v>
      </x:c>
      <x:c r="E175" s="30" t="str">
        <x:v>Guillermo Penagos</x:v>
      </x:c>
      <x:c r="F175" s="30" t="str">
        <x:v>Revisión técnica y cierre para envío a Secretaría</x:v>
      </x:c>
      <x:c r="G175" s="35" t="n">
        <x:v>0.5</x:v>
      </x:c>
      <x:c r="H175" s="33" t="n">
        <x:f>INDEX(Actividades!$I$6:$I$104,MATCH(A175,Actividades!$A$6:$A$104,0))</x:f>
        <x:v>0.1</x:v>
      </x:c>
      <x:c r="I175" s="33" t="n">
        <x:f>G175*H175</x:f>
        <x:v>0.05</x:v>
      </x:c>
      <x:c r="J175" s="35"/>
      <x:c r="K175" s="33" t="str">
        <x:f>IF(ISNUMBER(J175),G175*J175,"")</x:f>
      </x:c>
      <x:c r="L175" s="33" t="str">
        <x:f>IF(ISNUMBER(J175),I175*J175,"")</x:f>
      </x:c>
      <x:c r="M175" s="36"/>
      <x:c r="N175" s="37"/>
      <x:c r="O175" s="37"/>
      <x:c r="P175" s="30" t="n">
        <x:f>IF(ISNUMBER(J175),0,1)</x:f>
        <x:v>1</x:v>
      </x:c>
    </x:row>
    <x:row r="176" ht="54" customHeight="1">
      <x:c r="A176" s="30" t="str">
        <x:v>P8 / R01</x:v>
      </x:c>
      <x:c r="B176" s="30" t="str">
        <x:v>C4</x:v>
      </x:c>
      <x:c r="C176" s="30" t="str">
        <x:v>P8</x:v>
      </x:c>
      <x:c r="D176" s="30" t="str">
        <x:v>R01</x:v>
      </x:c>
      <x:c r="E176" s="30" t="str">
        <x:v>María José Suárez</x:v>
      </x:c>
      <x:c r="F176" s="30" t="str">
        <x:v>Revisión integral y cierre para envío a Secretaría</x:v>
      </x:c>
      <x:c r="G176" s="35" t="n">
        <x:v>0.5</x:v>
      </x:c>
      <x:c r="H176" s="33" t="n">
        <x:f>INDEX(Actividades!$I$6:$I$104,MATCH(A176,Actividades!$A$6:$A$104,0))</x:f>
        <x:v>0.1</x:v>
      </x:c>
      <x:c r="I176" s="33" t="n">
        <x:f>G176*H176</x:f>
        <x:v>0.05</x:v>
      </x:c>
      <x:c r="J176" s="35"/>
      <x:c r="K176" s="33" t="str">
        <x:f>IF(ISNUMBER(J176),G176*J176,"")</x:f>
      </x:c>
      <x:c r="L176" s="33" t="str">
        <x:f>IF(ISNUMBER(J176),I176*J176,"")</x:f>
      </x:c>
      <x:c r="M176" s="36"/>
      <x:c r="N176" s="37"/>
      <x:c r="O176" s="37"/>
      <x:c r="P176" s="30" t="n">
        <x:f>IF(ISNUMBER(J176),0,1)</x:f>
        <x:v>1</x:v>
      </x:c>
    </x:row>
    <x:row r="177" ht="54" customHeight="1">
      <x:c r="A177" s="30" t="str">
        <x:v>P8 / R02</x:v>
      </x:c>
      <x:c r="B177" s="30" t="str">
        <x:v>C4</x:v>
      </x:c>
      <x:c r="C177" s="30" t="str">
        <x:v>P8</x:v>
      </x:c>
      <x:c r="D177" s="30" t="str">
        <x:v>R02</x:v>
      </x:c>
      <x:c r="E177" s="30" t="str">
        <x:v>Juana — Secretaría de Medio Ambiente</x:v>
      </x:c>
      <x:c r="F177" s="30" t="str">
        <x:v>Validación y revisión final institucional</x:v>
      </x:c>
      <x:c r="G177" s="35" t="n">
        <x:v>1</x:v>
      </x:c>
      <x:c r="H177" s="33" t="n">
        <x:f>INDEX(Actividades!$I$6:$I$104,MATCH(A177,Actividades!$A$6:$A$104,0))</x:f>
        <x:v>0.05</x:v>
      </x:c>
      <x:c r="I177" s="33" t="n">
        <x:f>G177*H177</x:f>
        <x:v>0.05</x:v>
      </x:c>
      <x:c r="J177" s="35"/>
      <x:c r="K177" s="33" t="str">
        <x:f>IF(ISNUMBER(J177),G177*J177,"")</x:f>
      </x:c>
      <x:c r="L177" s="33" t="str">
        <x:f>IF(ISNUMBER(J177),I177*J177,"")</x:f>
      </x:c>
      <x:c r="M177" s="36"/>
      <x:c r="N177" s="37"/>
      <x:c r="O177" s="37"/>
      <x:c r="P177" s="30" t="n">
        <x:f>IF(ISNUMBER(J177),0,1)</x:f>
        <x:v>1</x:v>
      </x:c>
    </x:row>
    <x:row r="178" ht="54" customHeight="1">
      <x:c r="A178" s="30" t="str">
        <x:v>P9 / C4-A3</x:v>
      </x:c>
      <x:c r="B178" s="30" t="str">
        <x:v>C4</x:v>
      </x:c>
      <x:c r="C178" s="30" t="str">
        <x:v>P9</x:v>
      </x:c>
      <x:c r="D178" s="30" t="str">
        <x:v>C4-A3</x:v>
      </x:c>
      <x:c r="E178" s="30" t="str">
        <x:v>León Darío Orrego Espejo</x:v>
      </x:c>
      <x:c r="F178" s="30" t="str">
        <x:v>Elaboración técnica</x:v>
      </x:c>
      <x:c r="G178" s="35" t="n">
        <x:v>0.35294117647058826</x:v>
      </x:c>
      <x:c r="H178" s="33" t="n">
        <x:f>INDEX(Actividades!$I$6:$I$104,MATCH(A178,Actividades!$A$6:$A$104,0))</x:f>
        <x:v>0.17</x:v>
      </x:c>
      <x:c r="I178" s="33" t="n">
        <x:f>G178*H178</x:f>
        <x:v>0.06000000000000001</x:v>
      </x:c>
      <x:c r="J178" s="35"/>
      <x:c r="K178" s="33" t="str">
        <x:f>IF(ISNUMBER(J178),G178*J178,"")</x:f>
      </x:c>
      <x:c r="L178" s="33" t="str">
        <x:f>IF(ISNUMBER(J178),I178*J178,"")</x:f>
      </x:c>
      <x:c r="M178" s="36"/>
      <x:c r="N178" s="37"/>
      <x:c r="O178" s="37"/>
      <x:c r="P178" s="30" t="n">
        <x:f>IF(ISNUMBER(J178),0,1)</x:f>
        <x:v>1</x:v>
      </x:c>
    </x:row>
    <x:row r="179" ht="54" customHeight="1">
      <x:c r="A179" s="30" t="str">
        <x:v>P9 / C4-A3</x:v>
      </x:c>
      <x:c r="B179" s="30" t="str">
        <x:v>C4</x:v>
      </x:c>
      <x:c r="C179" s="30" t="str">
        <x:v>P9</x:v>
      </x:c>
      <x:c r="D179" s="30" t="str">
        <x:v>C4-A3</x:v>
      </x:c>
      <x:c r="E179" s="30" t="str">
        <x:v>Daniel González Montoya</x:v>
      </x:c>
      <x:c r="F179" s="30" t="str">
        <x:v>Elaboración técnica</x:v>
      </x:c>
      <x:c r="G179" s="35" t="n">
        <x:v>0.35294117647058826</x:v>
      </x:c>
      <x:c r="H179" s="33" t="n">
        <x:f>INDEX(Actividades!$I$6:$I$104,MATCH(A179,Actividades!$A$6:$A$104,0))</x:f>
        <x:v>0.17</x:v>
      </x:c>
      <x:c r="I179" s="33" t="n">
        <x:f>G179*H179</x:f>
        <x:v>0.06000000000000001</x:v>
      </x:c>
      <x:c r="J179" s="35"/>
      <x:c r="K179" s="33" t="str">
        <x:f>IF(ISNUMBER(J179),G179*J179,"")</x:f>
      </x:c>
      <x:c r="L179" s="33" t="str">
        <x:f>IF(ISNUMBER(J179),I179*J179,"")</x:f>
      </x:c>
      <x:c r="M179" s="36"/>
      <x:c r="N179" s="37"/>
      <x:c r="O179" s="37"/>
      <x:c r="P179" s="30" t="n">
        <x:f>IF(ISNUMBER(J179),0,1)</x:f>
        <x:v>1</x:v>
      </x:c>
    </x:row>
    <x:row r="180" ht="54" customHeight="1">
      <x:c r="A180" s="30" t="str">
        <x:v>P9 / C4-A3</x:v>
      </x:c>
      <x:c r="B180" s="30" t="str">
        <x:v>C4</x:v>
      </x:c>
      <x:c r="C180" s="30" t="str">
        <x:v>P9</x:v>
      </x:c>
      <x:c r="D180" s="30" t="str">
        <x:v>C4-A3</x:v>
      </x:c>
      <x:c r="E180" s="30" t="str">
        <x:v>Sebastián Cartagena</x:v>
      </x:c>
      <x:c r="F180" s="30" t="str">
        <x:v>Apoyo técnico</x:v>
      </x:c>
      <x:c r="G180" s="35" t="n">
        <x:v>0.17647058823529413</x:v>
      </x:c>
      <x:c r="H180" s="33" t="n">
        <x:f>INDEX(Actividades!$I$6:$I$104,MATCH(A180,Actividades!$A$6:$A$104,0))</x:f>
        <x:v>0.17</x:v>
      </x:c>
      <x:c r="I180" s="33" t="n">
        <x:f>G180*H180</x:f>
        <x:v>0.030000000000000006</x:v>
      </x:c>
      <x:c r="J180" s="35"/>
      <x:c r="K180" s="33" t="str">
        <x:f>IF(ISNUMBER(J180),G180*J180,"")</x:f>
      </x:c>
      <x:c r="L180" s="33" t="str">
        <x:f>IF(ISNUMBER(J180),I180*J180,"")</x:f>
      </x:c>
      <x:c r="M180" s="36"/>
      <x:c r="N180" s="37"/>
      <x:c r="O180" s="37"/>
      <x:c r="P180" s="30" t="n">
        <x:f>IF(ISNUMBER(J180),0,1)</x:f>
        <x:v>1</x:v>
      </x:c>
    </x:row>
    <x:row r="181" ht="54" customHeight="1">
      <x:c r="A181" s="30" t="str">
        <x:v>P9 / C4-A3</x:v>
      </x:c>
      <x:c r="B181" s="30" t="str">
        <x:v>C4</x:v>
      </x:c>
      <x:c r="C181" s="30" t="str">
        <x:v>P9</x:v>
      </x:c>
      <x:c r="D181" s="30" t="str">
        <x:v>C4-A3</x:v>
      </x:c>
      <x:c r="E181" s="30" t="str">
        <x:v>Paola Andrea Ruiz Franco</x:v>
      </x:c>
      <x:c r="F181" s="30" t="str">
        <x:v>Coordinación técnica, integración y seguimiento</x:v>
      </x:c>
      <x:c r="G181" s="35" t="n">
        <x:v>0.11764705882352941</x:v>
      </x:c>
      <x:c r="H181" s="33" t="n">
        <x:f>INDEX(Actividades!$I$6:$I$104,MATCH(A181,Actividades!$A$6:$A$104,0))</x:f>
        <x:v>0.17</x:v>
      </x:c>
      <x:c r="I181" s="33" t="n">
        <x:f>G181*H181</x:f>
        <x:v>0.02</x:v>
      </x:c>
      <x:c r="J181" s="35"/>
      <x:c r="K181" s="33" t="str">
        <x:f>IF(ISNUMBER(J181),G181*J181,"")</x:f>
      </x:c>
      <x:c r="L181" s="33" t="str">
        <x:f>IF(ISNUMBER(J181),I181*J181,"")</x:f>
      </x:c>
      <x:c r="M181" s="36"/>
      <x:c r="N181" s="37"/>
      <x:c r="O181" s="37"/>
      <x:c r="P181" s="30" t="n">
        <x:f>IF(ISNUMBER(J181),0,1)</x:f>
        <x:v>1</x:v>
      </x:c>
    </x:row>
    <x:row r="182" ht="54" customHeight="1">
      <x:c r="A182" s="30" t="str">
        <x:v>P9 / C4-A5</x:v>
      </x:c>
      <x:c r="B182" s="30" t="str">
        <x:v>C4</x:v>
      </x:c>
      <x:c r="C182" s="30" t="str">
        <x:v>P9</x:v>
      </x:c>
      <x:c r="D182" s="30" t="str">
        <x:v>C4-A5</x:v>
      </x:c>
      <x:c r="E182" s="30" t="str">
        <x:v>Luis Eduardo Vahos Hernández</x:v>
      </x:c>
      <x:c r="F182" s="30" t="str">
        <x:v>Elaboración técnica</x:v>
      </x:c>
      <x:c r="G182" s="35" t="n">
        <x:v>0.35294117647058826</x:v>
      </x:c>
      <x:c r="H182" s="33" t="n">
        <x:f>INDEX(Actividades!$I$6:$I$104,MATCH(A182,Actividades!$A$6:$A$104,0))</x:f>
        <x:v>0.17</x:v>
      </x:c>
      <x:c r="I182" s="33" t="n">
        <x:f>G182*H182</x:f>
        <x:v>0.06000000000000001</x:v>
      </x:c>
      <x:c r="J182" s="35"/>
      <x:c r="K182" s="33" t="str">
        <x:f>IF(ISNUMBER(J182),G182*J182,"")</x:f>
      </x:c>
      <x:c r="L182" s="33" t="str">
        <x:f>IF(ISNUMBER(J182),I182*J182,"")</x:f>
      </x:c>
      <x:c r="M182" s="36"/>
      <x:c r="N182" s="37"/>
      <x:c r="O182" s="37"/>
      <x:c r="P182" s="30" t="n">
        <x:f>IF(ISNUMBER(J182),0,1)</x:f>
        <x:v>1</x:v>
      </x:c>
    </x:row>
    <x:row r="183" ht="54" customHeight="1">
      <x:c r="A183" s="30" t="str">
        <x:v>P9 / C4-A5</x:v>
      </x:c>
      <x:c r="B183" s="30" t="str">
        <x:v>C4</x:v>
      </x:c>
      <x:c r="C183" s="30" t="str">
        <x:v>P9</x:v>
      </x:c>
      <x:c r="D183" s="30" t="str">
        <x:v>C4-A5</x:v>
      </x:c>
      <x:c r="E183" s="30" t="str">
        <x:v>León Darío Orrego Espejo</x:v>
      </x:c>
      <x:c r="F183" s="30" t="str">
        <x:v>Elaboración técnica</x:v>
      </x:c>
      <x:c r="G183" s="35" t="n">
        <x:v>0.35294117647058826</x:v>
      </x:c>
      <x:c r="H183" s="33" t="n">
        <x:f>INDEX(Actividades!$I$6:$I$104,MATCH(A183,Actividades!$A$6:$A$104,0))</x:f>
        <x:v>0.17</x:v>
      </x:c>
      <x:c r="I183" s="33" t="n">
        <x:f>G183*H183</x:f>
        <x:v>0.06000000000000001</x:v>
      </x:c>
      <x:c r="J183" s="35"/>
      <x:c r="K183" s="33" t="str">
        <x:f>IF(ISNUMBER(J183),G183*J183,"")</x:f>
      </x:c>
      <x:c r="L183" s="33" t="str">
        <x:f>IF(ISNUMBER(J183),I183*J183,"")</x:f>
      </x:c>
      <x:c r="M183" s="36"/>
      <x:c r="N183" s="37"/>
      <x:c r="O183" s="37"/>
      <x:c r="P183" s="30" t="n">
        <x:f>IF(ISNUMBER(J183),0,1)</x:f>
        <x:v>1</x:v>
      </x:c>
    </x:row>
    <x:row r="184" ht="54" customHeight="1">
      <x:c r="A184" s="30" t="str">
        <x:v>P9 / C4-A5</x:v>
      </x:c>
      <x:c r="B184" s="30" t="str">
        <x:v>C4</x:v>
      </x:c>
      <x:c r="C184" s="30" t="str">
        <x:v>P9</x:v>
      </x:c>
      <x:c r="D184" s="30" t="str">
        <x:v>C4-A5</x:v>
      </x:c>
      <x:c r="E184" s="30" t="str">
        <x:v>Daniel González Montoya</x:v>
      </x:c>
      <x:c r="F184" s="30" t="str">
        <x:v>Apoyo técnico</x:v>
      </x:c>
      <x:c r="G184" s="35" t="n">
        <x:v>0.17647058823529413</x:v>
      </x:c>
      <x:c r="H184" s="33" t="n">
        <x:f>INDEX(Actividades!$I$6:$I$104,MATCH(A184,Actividades!$A$6:$A$104,0))</x:f>
        <x:v>0.17</x:v>
      </x:c>
      <x:c r="I184" s="33" t="n">
        <x:f>G184*H184</x:f>
        <x:v>0.030000000000000006</x:v>
      </x:c>
      <x:c r="J184" s="35"/>
      <x:c r="K184" s="33" t="str">
        <x:f>IF(ISNUMBER(J184),G184*J184,"")</x:f>
      </x:c>
      <x:c r="L184" s="33" t="str">
        <x:f>IF(ISNUMBER(J184),I184*J184,"")</x:f>
      </x:c>
      <x:c r="M184" s="36"/>
      <x:c r="N184" s="37"/>
      <x:c r="O184" s="37"/>
      <x:c r="P184" s="30" t="n">
        <x:f>IF(ISNUMBER(J184),0,1)</x:f>
        <x:v>1</x:v>
      </x:c>
    </x:row>
    <x:row r="185" ht="54" customHeight="1">
      <x:c r="A185" s="30" t="str">
        <x:v>P9 / C4-A5</x:v>
      </x:c>
      <x:c r="B185" s="30" t="str">
        <x:v>C4</x:v>
      </x:c>
      <x:c r="C185" s="30" t="str">
        <x:v>P9</x:v>
      </x:c>
      <x:c r="D185" s="30" t="str">
        <x:v>C4-A5</x:v>
      </x:c>
      <x:c r="E185" s="30" t="str">
        <x:v>Paola Andrea Ruiz Franco</x:v>
      </x:c>
      <x:c r="F185" s="30" t="str">
        <x:v>Coordinación técnica, integración y seguimiento</x:v>
      </x:c>
      <x:c r="G185" s="35" t="n">
        <x:v>0.11764705882352941</x:v>
      </x:c>
      <x:c r="H185" s="33" t="n">
        <x:f>INDEX(Actividades!$I$6:$I$104,MATCH(A185,Actividades!$A$6:$A$104,0))</x:f>
        <x:v>0.17</x:v>
      </x:c>
      <x:c r="I185" s="33" t="n">
        <x:f>G185*H185</x:f>
        <x:v>0.02</x:v>
      </x:c>
      <x:c r="J185" s="35"/>
      <x:c r="K185" s="33" t="str">
        <x:f>IF(ISNUMBER(J185),G185*J185,"")</x:f>
      </x:c>
      <x:c r="L185" s="33" t="str">
        <x:f>IF(ISNUMBER(J185),I185*J185,"")</x:f>
      </x:c>
      <x:c r="M185" s="36"/>
      <x:c r="N185" s="37"/>
      <x:c r="O185" s="37"/>
      <x:c r="P185" s="30" t="n">
        <x:f>IF(ISNUMBER(J185),0,1)</x:f>
        <x:v>1</x:v>
      </x:c>
    </x:row>
    <x:row r="186" ht="54" customHeight="1">
      <x:c r="A186" s="30" t="str">
        <x:v>P9 / C4-A6</x:v>
      </x:c>
      <x:c r="B186" s="30" t="str">
        <x:v>C4</x:v>
      </x:c>
      <x:c r="C186" s="30" t="str">
        <x:v>P9</x:v>
      </x:c>
      <x:c r="D186" s="30" t="str">
        <x:v>C4-A6</x:v>
      </x:c>
      <x:c r="E186" s="30" t="str">
        <x:v>Luis Eduardo Vahos Hernández</x:v>
      </x:c>
      <x:c r="F186" s="30" t="str">
        <x:v>Elaboración técnica</x:v>
      </x:c>
      <x:c r="G186" s="35" t="n">
        <x:v>0.35294117647058826</x:v>
      </x:c>
      <x:c r="H186" s="33" t="n">
        <x:f>INDEX(Actividades!$I$6:$I$104,MATCH(A186,Actividades!$A$6:$A$104,0))</x:f>
        <x:v>0.51</x:v>
      </x:c>
      <x:c r="I186" s="33" t="n">
        <x:f>G186*H186</x:f>
        <x:v>0.18000000000000002</x:v>
      </x:c>
      <x:c r="J186" s="35"/>
      <x:c r="K186" s="33" t="str">
        <x:f>IF(ISNUMBER(J186),G186*J186,"")</x:f>
      </x:c>
      <x:c r="L186" s="33" t="str">
        <x:f>IF(ISNUMBER(J186),I186*J186,"")</x:f>
      </x:c>
      <x:c r="M186" s="36"/>
      <x:c r="N186" s="37"/>
      <x:c r="O186" s="37"/>
      <x:c r="P186" s="30" t="n">
        <x:f>IF(ISNUMBER(J186),0,1)</x:f>
        <x:v>1</x:v>
      </x:c>
    </x:row>
    <x:row r="187" ht="54" customHeight="1">
      <x:c r="A187" s="30" t="str">
        <x:v>P9 / C4-A6</x:v>
      </x:c>
      <x:c r="B187" s="30" t="str">
        <x:v>C4</x:v>
      </x:c>
      <x:c r="C187" s="30" t="str">
        <x:v>P9</x:v>
      </x:c>
      <x:c r="D187" s="30" t="str">
        <x:v>C4-A6</x:v>
      </x:c>
      <x:c r="E187" s="30" t="str">
        <x:v>León Darío Orrego Espejo</x:v>
      </x:c>
      <x:c r="F187" s="30" t="str">
        <x:v>Elaboración técnica</x:v>
      </x:c>
      <x:c r="G187" s="35" t="n">
        <x:v>0.35294117647058826</x:v>
      </x:c>
      <x:c r="H187" s="33" t="n">
        <x:f>INDEX(Actividades!$I$6:$I$104,MATCH(A187,Actividades!$A$6:$A$104,0))</x:f>
        <x:v>0.51</x:v>
      </x:c>
      <x:c r="I187" s="33" t="n">
        <x:f>G187*H187</x:f>
        <x:v>0.18000000000000002</x:v>
      </x:c>
      <x:c r="J187" s="35"/>
      <x:c r="K187" s="33" t="str">
        <x:f>IF(ISNUMBER(J187),G187*J187,"")</x:f>
      </x:c>
      <x:c r="L187" s="33" t="str">
        <x:f>IF(ISNUMBER(J187),I187*J187,"")</x:f>
      </x:c>
      <x:c r="M187" s="36"/>
      <x:c r="N187" s="37"/>
      <x:c r="O187" s="37"/>
      <x:c r="P187" s="30" t="n">
        <x:f>IF(ISNUMBER(J187),0,1)</x:f>
        <x:v>1</x:v>
      </x:c>
    </x:row>
    <x:row r="188" ht="54" customHeight="1">
      <x:c r="A188" s="30" t="str">
        <x:v>P9 / C4-A6</x:v>
      </x:c>
      <x:c r="B188" s="30" t="str">
        <x:v>C4</x:v>
      </x:c>
      <x:c r="C188" s="30" t="str">
        <x:v>P9</x:v>
      </x:c>
      <x:c r="D188" s="30" t="str">
        <x:v>C4-A6</x:v>
      </x:c>
      <x:c r="E188" s="30" t="str">
        <x:v>Daniel González Montoya</x:v>
      </x:c>
      <x:c r="F188" s="30" t="str">
        <x:v>Apoyo técnico</x:v>
      </x:c>
      <x:c r="G188" s="35" t="n">
        <x:v>0.17647058823529413</x:v>
      </x:c>
      <x:c r="H188" s="33" t="n">
        <x:f>INDEX(Actividades!$I$6:$I$104,MATCH(A188,Actividades!$A$6:$A$104,0))</x:f>
        <x:v>0.51</x:v>
      </x:c>
      <x:c r="I188" s="33" t="n">
        <x:f>G188*H188</x:f>
        <x:v>0.09000000000000001</x:v>
      </x:c>
      <x:c r="J188" s="35"/>
      <x:c r="K188" s="33" t="str">
        <x:f>IF(ISNUMBER(J188),G188*J188,"")</x:f>
      </x:c>
      <x:c r="L188" s="33" t="str">
        <x:f>IF(ISNUMBER(J188),I188*J188,"")</x:f>
      </x:c>
      <x:c r="M188" s="36"/>
      <x:c r="N188" s="37"/>
      <x:c r="O188" s="37"/>
      <x:c r="P188" s="30" t="n">
        <x:f>IF(ISNUMBER(J188),0,1)</x:f>
        <x:v>1</x:v>
      </x:c>
    </x:row>
    <x:row r="189" ht="54" customHeight="1">
      <x:c r="A189" s="30" t="str">
        <x:v>P9 / C4-A6</x:v>
      </x:c>
      <x:c r="B189" s="30" t="str">
        <x:v>C4</x:v>
      </x:c>
      <x:c r="C189" s="30" t="str">
        <x:v>P9</x:v>
      </x:c>
      <x:c r="D189" s="30" t="str">
        <x:v>C4-A6</x:v>
      </x:c>
      <x:c r="E189" s="30" t="str">
        <x:v>Paola Andrea Ruiz Franco</x:v>
      </x:c>
      <x:c r="F189" s="30" t="str">
        <x:v>Coordinación técnica, integración y seguimiento</x:v>
      </x:c>
      <x:c r="G189" s="35" t="n">
        <x:v>0.11764705882352941</x:v>
      </x:c>
      <x:c r="H189" s="33" t="n">
        <x:f>INDEX(Actividades!$I$6:$I$104,MATCH(A189,Actividades!$A$6:$A$104,0))</x:f>
        <x:v>0.51</x:v>
      </x:c>
      <x:c r="I189" s="33" t="n">
        <x:f>G189*H189</x:f>
        <x:v>0.06</x:v>
      </x:c>
      <x:c r="J189" s="35"/>
      <x:c r="K189" s="33" t="str">
        <x:f>IF(ISNUMBER(J189),G189*J189,"")</x:f>
      </x:c>
      <x:c r="L189" s="33" t="str">
        <x:f>IF(ISNUMBER(J189),I189*J189,"")</x:f>
      </x:c>
      <x:c r="M189" s="36"/>
      <x:c r="N189" s="37"/>
      <x:c r="O189" s="37"/>
      <x:c r="P189" s="30" t="n">
        <x:f>IF(ISNUMBER(J189),0,1)</x:f>
        <x:v>1</x:v>
      </x:c>
    </x:row>
    <x:row r="190" ht="54" customHeight="1">
      <x:c r="A190" s="30" t="str">
        <x:v>P9 / R01</x:v>
      </x:c>
      <x:c r="B190" s="30" t="str">
        <x:v>C4</x:v>
      </x:c>
      <x:c r="C190" s="30" t="str">
        <x:v>P9</x:v>
      </x:c>
      <x:c r="D190" s="30" t="str">
        <x:v>R01</x:v>
      </x:c>
      <x:c r="E190" s="30" t="str">
        <x:v>Guillermo Penagos</x:v>
      </x:c>
      <x:c r="F190" s="30" t="str">
        <x:v>Revisión técnica y cierre para envío a Secretaría</x:v>
      </x:c>
      <x:c r="G190" s="35" t="n">
        <x:v>0.5</x:v>
      </x:c>
      <x:c r="H190" s="33" t="n">
        <x:f>INDEX(Actividades!$I$6:$I$104,MATCH(A190,Actividades!$A$6:$A$104,0))</x:f>
        <x:v>0.1</x:v>
      </x:c>
      <x:c r="I190" s="33" t="n">
        <x:f>G190*H190</x:f>
        <x:v>0.05</x:v>
      </x:c>
      <x:c r="J190" s="35"/>
      <x:c r="K190" s="33" t="str">
        <x:f>IF(ISNUMBER(J190),G190*J190,"")</x:f>
      </x:c>
      <x:c r="L190" s="33" t="str">
        <x:f>IF(ISNUMBER(J190),I190*J190,"")</x:f>
      </x:c>
      <x:c r="M190" s="36"/>
      <x:c r="N190" s="37"/>
      <x:c r="O190" s="37"/>
      <x:c r="P190" s="30" t="n">
        <x:f>IF(ISNUMBER(J190),0,1)</x:f>
        <x:v>1</x:v>
      </x:c>
    </x:row>
    <x:row r="191" ht="54" customHeight="1">
      <x:c r="A191" s="30" t="str">
        <x:v>P9 / R01</x:v>
      </x:c>
      <x:c r="B191" s="30" t="str">
        <x:v>C4</x:v>
      </x:c>
      <x:c r="C191" s="30" t="str">
        <x:v>P9</x:v>
      </x:c>
      <x:c r="D191" s="30" t="str">
        <x:v>R01</x:v>
      </x:c>
      <x:c r="E191" s="30" t="str">
        <x:v>María José Suárez</x:v>
      </x:c>
      <x:c r="F191" s="30" t="str">
        <x:v>Revisión integral y cierre para envío a Secretaría</x:v>
      </x:c>
      <x:c r="G191" s="35" t="n">
        <x:v>0.5</x:v>
      </x:c>
      <x:c r="H191" s="33" t="n">
        <x:f>INDEX(Actividades!$I$6:$I$104,MATCH(A191,Actividades!$A$6:$A$104,0))</x:f>
        <x:v>0.1</x:v>
      </x:c>
      <x:c r="I191" s="33" t="n">
        <x:f>G191*H191</x:f>
        <x:v>0.05</x:v>
      </x:c>
      <x:c r="J191" s="35"/>
      <x:c r="K191" s="33" t="str">
        <x:f>IF(ISNUMBER(J191),G191*J191,"")</x:f>
      </x:c>
      <x:c r="L191" s="33" t="str">
        <x:f>IF(ISNUMBER(J191),I191*J191,"")</x:f>
      </x:c>
      <x:c r="M191" s="36"/>
      <x:c r="N191" s="37"/>
      <x:c r="O191" s="37"/>
      <x:c r="P191" s="30" t="n">
        <x:f>IF(ISNUMBER(J191),0,1)</x:f>
        <x:v>1</x:v>
      </x:c>
    </x:row>
    <x:row r="192" ht="54" customHeight="1">
      <x:c r="A192" s="30" t="str">
        <x:v>P9 / R02</x:v>
      </x:c>
      <x:c r="B192" s="30" t="str">
        <x:v>C4</x:v>
      </x:c>
      <x:c r="C192" s="30" t="str">
        <x:v>P9</x:v>
      </x:c>
      <x:c r="D192" s="30" t="str">
        <x:v>R02</x:v>
      </x:c>
      <x:c r="E192" s="30" t="str">
        <x:v>Juana — Secretaría de Medio Ambiente</x:v>
      </x:c>
      <x:c r="F192" s="30" t="str">
        <x:v>Validación y revisión final institucional</x:v>
      </x:c>
      <x:c r="G192" s="35" t="n">
        <x:v>1</x:v>
      </x:c>
      <x:c r="H192" s="33" t="n">
        <x:f>INDEX(Actividades!$I$6:$I$104,MATCH(A192,Actividades!$A$6:$A$104,0))</x:f>
        <x:v>0.05</x:v>
      </x:c>
      <x:c r="I192" s="33" t="n">
        <x:f>G192*H192</x:f>
        <x:v>0.05</x:v>
      </x:c>
      <x:c r="J192" s="35"/>
      <x:c r="K192" s="33" t="str">
        <x:f>IF(ISNUMBER(J192),G192*J192,"")</x:f>
      </x:c>
      <x:c r="L192" s="33" t="str">
        <x:f>IF(ISNUMBER(J192),I192*J192,"")</x:f>
      </x:c>
      <x:c r="M192" s="36"/>
      <x:c r="N192" s="37"/>
      <x:c r="O192" s="37"/>
      <x:c r="P192" s="30" t="n">
        <x:f>IF(ISNUMBER(J192),0,1)</x:f>
        <x:v>1</x:v>
      </x:c>
    </x:row>
    <x:row r="193" ht="54" customHeight="1">
      <x:c r="A193" s="30" t="str">
        <x:v>P10 / C4-A5</x:v>
      </x:c>
      <x:c r="B193" s="30" t="str">
        <x:v>C4</x:v>
      </x:c>
      <x:c r="C193" s="30" t="str">
        <x:v>P10</x:v>
      </x:c>
      <x:c r="D193" s="30" t="str">
        <x:v>C4-A5</x:v>
      </x:c>
      <x:c r="E193" s="30" t="str">
        <x:v>Luis Eduardo Vahos Hernández</x:v>
      </x:c>
      <x:c r="F193" s="30" t="str">
        <x:v>Elaboración técnica</x:v>
      </x:c>
      <x:c r="G193" s="35" t="n">
        <x:v>0.5882352941176471</x:v>
      </x:c>
      <x:c r="H193" s="33" t="n">
        <x:f>INDEX(Actividades!$I$6:$I$104,MATCH(A193,Actividades!$A$6:$A$104,0))</x:f>
        <x:v>0.255</x:v>
      </x:c>
      <x:c r="I193" s="33" t="n">
        <x:f>G193*H193</x:f>
        <x:v>0.15</x:v>
      </x:c>
      <x:c r="J193" s="35"/>
      <x:c r="K193" s="33" t="str">
        <x:f>IF(ISNUMBER(J193),G193*J193,"")</x:f>
      </x:c>
      <x:c r="L193" s="33" t="str">
        <x:f>IF(ISNUMBER(J193),I193*J193,"")</x:f>
      </x:c>
      <x:c r="M193" s="36"/>
      <x:c r="N193" s="37"/>
      <x:c r="O193" s="37"/>
      <x:c r="P193" s="30" t="n">
        <x:f>IF(ISNUMBER(J193),0,1)</x:f>
        <x:v>1</x:v>
      </x:c>
    </x:row>
    <x:row r="194" ht="54" customHeight="1">
      <x:c r="A194" s="30" t="str">
        <x:v>P10 / C4-A5</x:v>
      </x:c>
      <x:c r="B194" s="30" t="str">
        <x:v>C4</x:v>
      </x:c>
      <x:c r="C194" s="30" t="str">
        <x:v>P10</x:v>
      </x:c>
      <x:c r="D194" s="30" t="str">
        <x:v>C4-A5</x:v>
      </x:c>
      <x:c r="E194" s="30" t="str">
        <x:v>León Darío Orrego Espejo</x:v>
      </x:c>
      <x:c r="F194" s="30" t="str">
        <x:v>Apoyo técnico</x:v>
      </x:c>
      <x:c r="G194" s="35" t="n">
        <x:v>0.29411764705882354</x:v>
      </x:c>
      <x:c r="H194" s="33" t="n">
        <x:f>INDEX(Actividades!$I$6:$I$104,MATCH(A194,Actividades!$A$6:$A$104,0))</x:f>
        <x:v>0.255</x:v>
      </x:c>
      <x:c r="I194" s="33" t="n">
        <x:f>G194*H194</x:f>
        <x:v>0.075</x:v>
      </x:c>
      <x:c r="J194" s="35"/>
      <x:c r="K194" s="33" t="str">
        <x:f>IF(ISNUMBER(J194),G194*J194,"")</x:f>
      </x:c>
      <x:c r="L194" s="33" t="str">
        <x:f>IF(ISNUMBER(J194),I194*J194,"")</x:f>
      </x:c>
      <x:c r="M194" s="36"/>
      <x:c r="N194" s="37"/>
      <x:c r="O194" s="37"/>
      <x:c r="P194" s="30" t="n">
        <x:f>IF(ISNUMBER(J194),0,1)</x:f>
        <x:v>1</x:v>
      </x:c>
    </x:row>
    <x:row r="195" ht="54" customHeight="1">
      <x:c r="A195" s="30" t="str">
        <x:v>P10 / C4-A5</x:v>
      </x:c>
      <x:c r="B195" s="30" t="str">
        <x:v>C4</x:v>
      </x:c>
      <x:c r="C195" s="30" t="str">
        <x:v>P10</x:v>
      </x:c>
      <x:c r="D195" s="30" t="str">
        <x:v>C4-A5</x:v>
      </x:c>
      <x:c r="E195" s="30" t="str">
        <x:v>Paola Andrea Ruiz Franco</x:v>
      </x:c>
      <x:c r="F195" s="30" t="str">
        <x:v>Coordinación técnica, integración y seguimiento</x:v>
      </x:c>
      <x:c r="G195" s="35" t="n">
        <x:v>0.11764705882352941</x:v>
      </x:c>
      <x:c r="H195" s="33" t="n">
        <x:f>INDEX(Actividades!$I$6:$I$104,MATCH(A195,Actividades!$A$6:$A$104,0))</x:f>
        <x:v>0.255</x:v>
      </x:c>
      <x:c r="I195" s="33" t="n">
        <x:f>G195*H195</x:f>
        <x:v>0.03</x:v>
      </x:c>
      <x:c r="J195" s="35"/>
      <x:c r="K195" s="33" t="str">
        <x:f>IF(ISNUMBER(J195),G195*J195,"")</x:f>
      </x:c>
      <x:c r="L195" s="33" t="str">
        <x:f>IF(ISNUMBER(J195),I195*J195,"")</x:f>
      </x:c>
      <x:c r="M195" s="36"/>
      <x:c r="N195" s="37"/>
      <x:c r="O195" s="37"/>
      <x:c r="P195" s="30" t="n">
        <x:f>IF(ISNUMBER(J195),0,1)</x:f>
        <x:v>1</x:v>
      </x:c>
    </x:row>
    <x:row r="196" ht="54" customHeight="1">
      <x:c r="A196" s="30" t="str">
        <x:v>P10 / C4-A6</x:v>
      </x:c>
      <x:c r="B196" s="30" t="str">
        <x:v>C4</x:v>
      </x:c>
      <x:c r="C196" s="30" t="str">
        <x:v>P10</x:v>
      </x:c>
      <x:c r="D196" s="30" t="str">
        <x:v>C4-A6</x:v>
      </x:c>
      <x:c r="E196" s="30" t="str">
        <x:v>Luis Eduardo Vahos Hernández</x:v>
      </x:c>
      <x:c r="F196" s="30" t="str">
        <x:v>Elaboración técnica</x:v>
      </x:c>
      <x:c r="G196" s="35" t="n">
        <x:v>0.196078431372549</x:v>
      </x:c>
      <x:c r="H196" s="33" t="n">
        <x:f>INDEX(Actividades!$I$6:$I$104,MATCH(A196,Actividades!$A$6:$A$104,0))</x:f>
        <x:v>0.595</x:v>
      </x:c>
      <x:c r="I196" s="33" t="n">
        <x:f>G196*H196</x:f>
        <x:v>0.11666666666666664</x:v>
      </x:c>
      <x:c r="J196" s="35"/>
      <x:c r="K196" s="33" t="str">
        <x:f>IF(ISNUMBER(J196),G196*J196,"")</x:f>
      </x:c>
      <x:c r="L196" s="33" t="str">
        <x:f>IF(ISNUMBER(J196),I196*J196,"")</x:f>
      </x:c>
      <x:c r="M196" s="36"/>
      <x:c r="N196" s="37"/>
      <x:c r="O196" s="37"/>
      <x:c r="P196" s="30" t="n">
        <x:f>IF(ISNUMBER(J196),0,1)</x:f>
        <x:v>1</x:v>
      </x:c>
    </x:row>
    <x:row r="197" ht="54" customHeight="1">
      <x:c r="A197" s="30" t="str">
        <x:v>P10 / C4-A6</x:v>
      </x:c>
      <x:c r="B197" s="30" t="str">
        <x:v>C4</x:v>
      </x:c>
      <x:c r="C197" s="30" t="str">
        <x:v>P10</x:v>
      </x:c>
      <x:c r="D197" s="30" t="str">
        <x:v>C4-A6</x:v>
      </x:c>
      <x:c r="E197" s="30" t="str">
        <x:v>León Darío Orrego Espejo</x:v>
      </x:c>
      <x:c r="F197" s="30" t="str">
        <x:v>Elaboración técnica</x:v>
      </x:c>
      <x:c r="G197" s="35" t="n">
        <x:v>0.196078431372549</x:v>
      </x:c>
      <x:c r="H197" s="33" t="n">
        <x:f>INDEX(Actividades!$I$6:$I$104,MATCH(A197,Actividades!$A$6:$A$104,0))</x:f>
        <x:v>0.595</x:v>
      </x:c>
      <x:c r="I197" s="33" t="n">
        <x:f>G197*H197</x:f>
        <x:v>0.11666666666666664</x:v>
      </x:c>
      <x:c r="J197" s="35"/>
      <x:c r="K197" s="33" t="str">
        <x:f>IF(ISNUMBER(J197),G197*J197,"")</x:f>
      </x:c>
      <x:c r="L197" s="33" t="str">
        <x:f>IF(ISNUMBER(J197),I197*J197,"")</x:f>
      </x:c>
      <x:c r="M197" s="36"/>
      <x:c r="N197" s="37"/>
      <x:c r="O197" s="37"/>
      <x:c r="P197" s="30" t="n">
        <x:f>IF(ISNUMBER(J197),0,1)</x:f>
        <x:v>1</x:v>
      </x:c>
    </x:row>
    <x:row r="198" ht="54" customHeight="1">
      <x:c r="A198" s="30" t="str">
        <x:v>P10 / C4-A6</x:v>
      </x:c>
      <x:c r="B198" s="30" t="str">
        <x:v>C4</x:v>
      </x:c>
      <x:c r="C198" s="30" t="str">
        <x:v>P10</x:v>
      </x:c>
      <x:c r="D198" s="30" t="str">
        <x:v>C4-A6</x:v>
      </x:c>
      <x:c r="E198" s="30" t="str">
        <x:v>Daniel González Montoya</x:v>
      </x:c>
      <x:c r="F198" s="30" t="str">
        <x:v>Elaboración técnica</x:v>
      </x:c>
      <x:c r="G198" s="35" t="n">
        <x:v>0.196078431372549</x:v>
      </x:c>
      <x:c r="H198" s="33" t="n">
        <x:f>INDEX(Actividades!$I$6:$I$104,MATCH(A198,Actividades!$A$6:$A$104,0))</x:f>
        <x:v>0.595</x:v>
      </x:c>
      <x:c r="I198" s="33" t="n">
        <x:f>G198*H198</x:f>
        <x:v>0.11666666666666664</x:v>
      </x:c>
      <x:c r="J198" s="35"/>
      <x:c r="K198" s="33" t="str">
        <x:f>IF(ISNUMBER(J198),G198*J198,"")</x:f>
      </x:c>
      <x:c r="L198" s="33" t="str">
        <x:f>IF(ISNUMBER(J198),I198*J198,"")</x:f>
      </x:c>
      <x:c r="M198" s="36"/>
      <x:c r="N198" s="37"/>
      <x:c r="O198" s="37"/>
      <x:c r="P198" s="30" t="n">
        <x:f>IF(ISNUMBER(J198),0,1)</x:f>
        <x:v>1</x:v>
      </x:c>
    </x:row>
    <x:row r="199" ht="54" customHeight="1">
      <x:c r="A199" s="30" t="str">
        <x:v>P10 / C4-A6</x:v>
      </x:c>
      <x:c r="B199" s="30" t="str">
        <x:v>C4</x:v>
      </x:c>
      <x:c r="C199" s="30" t="str">
        <x:v>P10</x:v>
      </x:c>
      <x:c r="D199" s="30" t="str">
        <x:v>C4-A6</x:v>
      </x:c>
      <x:c r="E199" s="30" t="str">
        <x:v>Sebastián Cartagena</x:v>
      </x:c>
      <x:c r="F199" s="30" t="str">
        <x:v>Elaboración técnica</x:v>
      </x:c>
      <x:c r="G199" s="35" t="n">
        <x:v>0.196078431372549</x:v>
      </x:c>
      <x:c r="H199" s="33" t="n">
        <x:f>INDEX(Actividades!$I$6:$I$104,MATCH(A199,Actividades!$A$6:$A$104,0))</x:f>
        <x:v>0.595</x:v>
      </x:c>
      <x:c r="I199" s="33" t="n">
        <x:f>G199*H199</x:f>
        <x:v>0.11666666666666664</x:v>
      </x:c>
      <x:c r="J199" s="35"/>
      <x:c r="K199" s="33" t="str">
        <x:f>IF(ISNUMBER(J199),G199*J199,"")</x:f>
      </x:c>
      <x:c r="L199" s="33" t="str">
        <x:f>IF(ISNUMBER(J199),I199*J199,"")</x:f>
      </x:c>
      <x:c r="M199" s="36"/>
      <x:c r="N199" s="37"/>
      <x:c r="O199" s="37"/>
      <x:c r="P199" s="30" t="n">
        <x:f>IF(ISNUMBER(J199),0,1)</x:f>
        <x:v>1</x:v>
      </x:c>
    </x:row>
    <x:row r="200" ht="54" customHeight="1">
      <x:c r="A200" s="30" t="str">
        <x:v>P10 / C4-A6</x:v>
      </x:c>
      <x:c r="B200" s="30" t="str">
        <x:v>C4</x:v>
      </x:c>
      <x:c r="C200" s="30" t="str">
        <x:v>P10</x:v>
      </x:c>
      <x:c r="D200" s="30" t="str">
        <x:v>C4-A6</x:v>
      </x:c>
      <x:c r="E200" s="30" t="str">
        <x:v>Liliana Restrepo</x:v>
      </x:c>
      <x:c r="F200" s="30" t="str">
        <x:v>Apoyo técnico</x:v>
      </x:c>
      <x:c r="G200" s="35" t="n">
        <x:v>0.0980392156862745</x:v>
      </x:c>
      <x:c r="H200" s="33" t="n">
        <x:f>INDEX(Actividades!$I$6:$I$104,MATCH(A200,Actividades!$A$6:$A$104,0))</x:f>
        <x:v>0.595</x:v>
      </x:c>
      <x:c r="I200" s="33" t="n">
        <x:f>G200*H200</x:f>
        <x:v>0.05833333333333332</x:v>
      </x:c>
      <x:c r="J200" s="35"/>
      <x:c r="K200" s="33" t="str">
        <x:f>IF(ISNUMBER(J200),G200*J200,"")</x:f>
      </x:c>
      <x:c r="L200" s="33" t="str">
        <x:f>IF(ISNUMBER(J200),I200*J200,"")</x:f>
      </x:c>
      <x:c r="M200" s="36"/>
      <x:c r="N200" s="37"/>
      <x:c r="O200" s="37"/>
      <x:c r="P200" s="30" t="n">
        <x:f>IF(ISNUMBER(J200),0,1)</x:f>
        <x:v>1</x:v>
      </x:c>
    </x:row>
    <x:row r="201" ht="54" customHeight="1">
      <x:c r="A201" s="30" t="str">
        <x:v>P10 / C4-A6</x:v>
      </x:c>
      <x:c r="B201" s="30" t="str">
        <x:v>C4</x:v>
      </x:c>
      <x:c r="C201" s="30" t="str">
        <x:v>P10</x:v>
      </x:c>
      <x:c r="D201" s="30" t="str">
        <x:v>C4-A6</x:v>
      </x:c>
      <x:c r="E201" s="30" t="str">
        <x:v>Paola Andrea Ruiz Franco</x:v>
      </x:c>
      <x:c r="F201" s="30" t="str">
        <x:v>Coordinación técnica, integración y seguimiento</x:v>
      </x:c>
      <x:c r="G201" s="35" t="n">
        <x:v>0.11764705882352941</x:v>
      </x:c>
      <x:c r="H201" s="33" t="n">
        <x:f>INDEX(Actividades!$I$6:$I$104,MATCH(A201,Actividades!$A$6:$A$104,0))</x:f>
        <x:v>0.595</x:v>
      </x:c>
      <x:c r="I201" s="33" t="n">
        <x:f>G201*H201</x:f>
        <x:v>0.06999999999999999</x:v>
      </x:c>
      <x:c r="J201" s="35"/>
      <x:c r="K201" s="33" t="str">
        <x:f>IF(ISNUMBER(J201),G201*J201,"")</x:f>
      </x:c>
      <x:c r="L201" s="33" t="str">
        <x:f>IF(ISNUMBER(J201),I201*J201,"")</x:f>
      </x:c>
      <x:c r="M201" s="36"/>
      <x:c r="N201" s="37"/>
      <x:c r="O201" s="37"/>
      <x:c r="P201" s="30" t="n">
        <x:f>IF(ISNUMBER(J201),0,1)</x:f>
        <x:v>1</x:v>
      </x:c>
    </x:row>
    <x:row r="202" ht="54" customHeight="1">
      <x:c r="A202" s="30" t="str">
        <x:v>P10 / R01</x:v>
      </x:c>
      <x:c r="B202" s="30" t="str">
        <x:v>C4</x:v>
      </x:c>
      <x:c r="C202" s="30" t="str">
        <x:v>P10</x:v>
      </x:c>
      <x:c r="D202" s="30" t="str">
        <x:v>R01</x:v>
      </x:c>
      <x:c r="E202" s="30" t="str">
        <x:v>Guillermo Penagos</x:v>
      </x:c>
      <x:c r="F202" s="30" t="str">
        <x:v>Revisión técnica y cierre para envío a Secretaría</x:v>
      </x:c>
      <x:c r="G202" s="35" t="n">
        <x:v>0.5</x:v>
      </x:c>
      <x:c r="H202" s="33" t="n">
        <x:f>INDEX(Actividades!$I$6:$I$104,MATCH(A202,Actividades!$A$6:$A$104,0))</x:f>
        <x:v>0.1</x:v>
      </x:c>
      <x:c r="I202" s="33" t="n">
        <x:f>G202*H202</x:f>
        <x:v>0.05</x:v>
      </x:c>
      <x:c r="J202" s="35"/>
      <x:c r="K202" s="33" t="str">
        <x:f>IF(ISNUMBER(J202),G202*J202,"")</x:f>
      </x:c>
      <x:c r="L202" s="33" t="str">
        <x:f>IF(ISNUMBER(J202),I202*J202,"")</x:f>
      </x:c>
      <x:c r="M202" s="36"/>
      <x:c r="N202" s="37"/>
      <x:c r="O202" s="37"/>
      <x:c r="P202" s="30" t="n">
        <x:f>IF(ISNUMBER(J202),0,1)</x:f>
        <x:v>1</x:v>
      </x:c>
    </x:row>
    <x:row r="203" ht="54" customHeight="1">
      <x:c r="A203" s="30" t="str">
        <x:v>P10 / R01</x:v>
      </x:c>
      <x:c r="B203" s="30" t="str">
        <x:v>C4</x:v>
      </x:c>
      <x:c r="C203" s="30" t="str">
        <x:v>P10</x:v>
      </x:c>
      <x:c r="D203" s="30" t="str">
        <x:v>R01</x:v>
      </x:c>
      <x:c r="E203" s="30" t="str">
        <x:v>María José Suárez</x:v>
      </x:c>
      <x:c r="F203" s="30" t="str">
        <x:v>Revisión integral y cierre para envío a Secretaría</x:v>
      </x:c>
      <x:c r="G203" s="35" t="n">
        <x:v>0.5</x:v>
      </x:c>
      <x:c r="H203" s="33" t="n">
        <x:f>INDEX(Actividades!$I$6:$I$104,MATCH(A203,Actividades!$A$6:$A$104,0))</x:f>
        <x:v>0.1</x:v>
      </x:c>
      <x:c r="I203" s="33" t="n">
        <x:f>G203*H203</x:f>
        <x:v>0.05</x:v>
      </x:c>
      <x:c r="J203" s="35"/>
      <x:c r="K203" s="33" t="str">
        <x:f>IF(ISNUMBER(J203),G203*J203,"")</x:f>
      </x:c>
      <x:c r="L203" s="33" t="str">
        <x:f>IF(ISNUMBER(J203),I203*J203,"")</x:f>
      </x:c>
      <x:c r="M203" s="36"/>
      <x:c r="N203" s="37"/>
      <x:c r="O203" s="37"/>
      <x:c r="P203" s="30" t="n">
        <x:f>IF(ISNUMBER(J203),0,1)</x:f>
        <x:v>1</x:v>
      </x:c>
    </x:row>
    <x:row r="204" ht="54" customHeight="1">
      <x:c r="A204" s="30" t="str">
        <x:v>P10 / R02</x:v>
      </x:c>
      <x:c r="B204" s="30" t="str">
        <x:v>C4</x:v>
      </x:c>
      <x:c r="C204" s="30" t="str">
        <x:v>P10</x:v>
      </x:c>
      <x:c r="D204" s="30" t="str">
        <x:v>R02</x:v>
      </x:c>
      <x:c r="E204" s="30" t="str">
        <x:v>Juana — Secretaría de Medio Ambiente</x:v>
      </x:c>
      <x:c r="F204" s="30" t="str">
        <x:v>Validación y revisión final institucional</x:v>
      </x:c>
      <x:c r="G204" s="35" t="n">
        <x:v>1</x:v>
      </x:c>
      <x:c r="H204" s="33" t="n">
        <x:f>INDEX(Actividades!$I$6:$I$104,MATCH(A204,Actividades!$A$6:$A$104,0))</x:f>
        <x:v>0.05</x:v>
      </x:c>
      <x:c r="I204" s="33" t="n">
        <x:f>G204*H204</x:f>
        <x:v>0.05</x:v>
      </x:c>
      <x:c r="J204" s="35"/>
      <x:c r="K204" s="33" t="str">
        <x:f>IF(ISNUMBER(J204),G204*J204,"")</x:f>
      </x:c>
      <x:c r="L204" s="33" t="str">
        <x:f>IF(ISNUMBER(J204),I204*J204,"")</x:f>
      </x:c>
      <x:c r="M204" s="36"/>
      <x:c r="N204" s="37"/>
      <x:c r="O204" s="37"/>
      <x:c r="P204" s="30" t="n">
        <x:f>IF(ISNUMBER(J204),0,1)</x:f>
        <x:v>1</x:v>
      </x:c>
    </x:row>
    <x:row r="205" ht="54" customHeight="1">
      <x:c r="A205" s="30" t="str">
        <x:v>P11 / C5-A1</x:v>
      </x:c>
      <x:c r="B205" s="30" t="str">
        <x:v>C5</x:v>
      </x:c>
      <x:c r="C205" s="30" t="str">
        <x:v>P11</x:v>
      </x:c>
      <x:c r="D205" s="30" t="str">
        <x:v>C5-A1</x:v>
      </x:c>
      <x:c r="E205" s="30" t="str">
        <x:v>Juliana Valencia</x:v>
      </x:c>
      <x:c r="F205" s="30" t="str">
        <x:v>Elaboración técnica</x:v>
      </x:c>
      <x:c r="G205" s="35" t="n">
        <x:v>0.12605042016806722</x:v>
      </x:c>
      <x:c r="H205" s="33" t="n">
        <x:f>INDEX(Actividades!$I$6:$I$104,MATCH(A205,Actividades!$A$6:$A$104,0))</x:f>
        <x:v>0.85</x:v>
      </x:c>
      <x:c r="I205" s="33" t="n">
        <x:f>G205*H205</x:f>
        <x:v>0.10714285714285714</x:v>
      </x:c>
      <x:c r="J205" s="35"/>
      <x:c r="K205" s="33" t="str">
        <x:f>IF(ISNUMBER(J205),G205*J205,"")</x:f>
      </x:c>
      <x:c r="L205" s="33" t="str">
        <x:f>IF(ISNUMBER(J205),I205*J205,"")</x:f>
      </x:c>
      <x:c r="M205" s="36"/>
      <x:c r="N205" s="37"/>
      <x:c r="O205" s="37"/>
      <x:c r="P205" s="30" t="n">
        <x:f>IF(ISNUMBER(J205),0,1)</x:f>
        <x:v>1</x:v>
      </x:c>
    </x:row>
    <x:row r="206" ht="54" customHeight="1">
      <x:c r="A206" s="30" t="str">
        <x:v>P11 / C5-A1</x:v>
      </x:c>
      <x:c r="B206" s="30" t="str">
        <x:v>C5</x:v>
      </x:c>
      <x:c r="C206" s="30" t="str">
        <x:v>P11</x:v>
      </x:c>
      <x:c r="D206" s="30" t="str">
        <x:v>C5-A1</x:v>
      </x:c>
      <x:c r="E206" s="30" t="str">
        <x:v>Marcos Arango Tamayo</x:v>
      </x:c>
      <x:c r="F206" s="30" t="str">
        <x:v>Elaboración técnica</x:v>
      </x:c>
      <x:c r="G206" s="35" t="n">
        <x:v>0.12605042016806722</x:v>
      </x:c>
      <x:c r="H206" s="33" t="n">
        <x:f>INDEX(Actividades!$I$6:$I$104,MATCH(A206,Actividades!$A$6:$A$104,0))</x:f>
        <x:v>0.85</x:v>
      </x:c>
      <x:c r="I206" s="33" t="n">
        <x:f>G206*H206</x:f>
        <x:v>0.10714285714285714</x:v>
      </x:c>
      <x:c r="J206" s="35"/>
      <x:c r="K206" s="33" t="str">
        <x:f>IF(ISNUMBER(J206),G206*J206,"")</x:f>
      </x:c>
      <x:c r="L206" s="33" t="str">
        <x:f>IF(ISNUMBER(J206),I206*J206,"")</x:f>
      </x:c>
      <x:c r="M206" s="36"/>
      <x:c r="N206" s="37"/>
      <x:c r="O206" s="37"/>
      <x:c r="P206" s="30" t="n">
        <x:f>IF(ISNUMBER(J206),0,1)</x:f>
        <x:v>1</x:v>
      </x:c>
    </x:row>
    <x:row r="207" ht="54" customHeight="1">
      <x:c r="A207" s="30" t="str">
        <x:v>P11 / C5-A1</x:v>
      </x:c>
      <x:c r="B207" s="30" t="str">
        <x:v>C5</x:v>
      </x:c>
      <x:c r="C207" s="30" t="str">
        <x:v>P11</x:v>
      </x:c>
      <x:c r="D207" s="30" t="str">
        <x:v>C5-A1</x:v>
      </x:c>
      <x:c r="E207" s="30" t="str">
        <x:v>Diana Carolina Ríos Echeverri</x:v>
      </x:c>
      <x:c r="F207" s="30" t="str">
        <x:v>Elaboración técnica</x:v>
      </x:c>
      <x:c r="G207" s="35" t="n">
        <x:v>0.12605042016806722</x:v>
      </x:c>
      <x:c r="H207" s="33" t="n">
        <x:f>INDEX(Actividades!$I$6:$I$104,MATCH(A207,Actividades!$A$6:$A$104,0))</x:f>
        <x:v>0.85</x:v>
      </x:c>
      <x:c r="I207" s="33" t="n">
        <x:f>G207*H207</x:f>
        <x:v>0.10714285714285714</x:v>
      </x:c>
      <x:c r="J207" s="35"/>
      <x:c r="K207" s="33" t="str">
        <x:f>IF(ISNUMBER(J207),G207*J207,"")</x:f>
      </x:c>
      <x:c r="L207" s="33" t="str">
        <x:f>IF(ISNUMBER(J207),I207*J207,"")</x:f>
      </x:c>
      <x:c r="M207" s="36"/>
      <x:c r="N207" s="37"/>
      <x:c r="O207" s="37"/>
      <x:c r="P207" s="30" t="n">
        <x:f>IF(ISNUMBER(J207),0,1)</x:f>
        <x:v>1</x:v>
      </x:c>
    </x:row>
    <x:row r="208" ht="54" customHeight="1">
      <x:c r="A208" s="30" t="str">
        <x:v>P11 / C5-A1</x:v>
      </x:c>
      <x:c r="B208" s="30" t="str">
        <x:v>C5</x:v>
      </x:c>
      <x:c r="C208" s="30" t="str">
        <x:v>P11</x:v>
      </x:c>
      <x:c r="D208" s="30" t="str">
        <x:v>C5-A1</x:v>
      </x:c>
      <x:c r="E208" s="30" t="str">
        <x:v>Vanessa García Leoz</x:v>
      </x:c>
      <x:c r="F208" s="30" t="str">
        <x:v>Elaboración técnica</x:v>
      </x:c>
      <x:c r="G208" s="35" t="n">
        <x:v>0.12605042016806722</x:v>
      </x:c>
      <x:c r="H208" s="33" t="n">
        <x:f>INDEX(Actividades!$I$6:$I$104,MATCH(A208,Actividades!$A$6:$A$104,0))</x:f>
        <x:v>0.85</x:v>
      </x:c>
      <x:c r="I208" s="33" t="n">
        <x:f>G208*H208</x:f>
        <x:v>0.10714285714285714</x:v>
      </x:c>
      <x:c r="J208" s="35"/>
      <x:c r="K208" s="33" t="str">
        <x:f>IF(ISNUMBER(J208),G208*J208,"")</x:f>
      </x:c>
      <x:c r="L208" s="33" t="str">
        <x:f>IF(ISNUMBER(J208),I208*J208,"")</x:f>
      </x:c>
      <x:c r="M208" s="36"/>
      <x:c r="N208" s="37"/>
      <x:c r="O208" s="37"/>
      <x:c r="P208" s="30" t="n">
        <x:f>IF(ISNUMBER(J208),0,1)</x:f>
        <x:v>1</x:v>
      </x:c>
    </x:row>
    <x:row r="209" ht="54" customHeight="1">
      <x:c r="A209" s="30" t="str">
        <x:v>P11 / C5-A1</x:v>
      </x:c>
      <x:c r="B209" s="30" t="str">
        <x:v>C5</x:v>
      </x:c>
      <x:c r="C209" s="30" t="str">
        <x:v>P11</x:v>
      </x:c>
      <x:c r="D209" s="30" t="str">
        <x:v>C5-A1</x:v>
      </x:c>
      <x:c r="E209" s="30" t="str">
        <x:v>Alejandro Silva Cortés</x:v>
      </x:c>
      <x:c r="F209" s="30" t="str">
        <x:v>Elaboración técnica</x:v>
      </x:c>
      <x:c r="G209" s="35" t="n">
        <x:v>0.12605042016806722</x:v>
      </x:c>
      <x:c r="H209" s="33" t="n">
        <x:f>INDEX(Actividades!$I$6:$I$104,MATCH(A209,Actividades!$A$6:$A$104,0))</x:f>
        <x:v>0.85</x:v>
      </x:c>
      <x:c r="I209" s="33" t="n">
        <x:f>G209*H209</x:f>
        <x:v>0.10714285714285714</x:v>
      </x:c>
      <x:c r="J209" s="35"/>
      <x:c r="K209" s="33" t="str">
        <x:f>IF(ISNUMBER(J209),G209*J209,"")</x:f>
      </x:c>
      <x:c r="L209" s="33" t="str">
        <x:f>IF(ISNUMBER(J209),I209*J209,"")</x:f>
      </x:c>
      <x:c r="M209" s="36"/>
      <x:c r="N209" s="37"/>
      <x:c r="O209" s="37"/>
      <x:c r="P209" s="30" t="n">
        <x:f>IF(ISNUMBER(J209),0,1)</x:f>
        <x:v>1</x:v>
      </x:c>
    </x:row>
    <x:row r="210" ht="54" customHeight="1">
      <x:c r="A210" s="30" t="str">
        <x:v>P11 / C5-A1</x:v>
      </x:c>
      <x:c r="B210" s="30" t="str">
        <x:v>C5</x:v>
      </x:c>
      <x:c r="C210" s="30" t="str">
        <x:v>P11</x:v>
      </x:c>
      <x:c r="D210" s="30" t="str">
        <x:v>C5-A1</x:v>
      </x:c>
      <x:c r="E210" s="30" t="str">
        <x:v>Sebastián Cartagena</x:v>
      </x:c>
      <x:c r="F210" s="30" t="str">
        <x:v>Elaboración técnica</x:v>
      </x:c>
      <x:c r="G210" s="35" t="n">
        <x:v>0.12605042016806722</x:v>
      </x:c>
      <x:c r="H210" s="33" t="n">
        <x:f>INDEX(Actividades!$I$6:$I$104,MATCH(A210,Actividades!$A$6:$A$104,0))</x:f>
        <x:v>0.85</x:v>
      </x:c>
      <x:c r="I210" s="33" t="n">
        <x:f>G210*H210</x:f>
        <x:v>0.10714285714285714</x:v>
      </x:c>
      <x:c r="J210" s="35"/>
      <x:c r="K210" s="33" t="str">
        <x:f>IF(ISNUMBER(J210),G210*J210,"")</x:f>
      </x:c>
      <x:c r="L210" s="33" t="str">
        <x:f>IF(ISNUMBER(J210),I210*J210,"")</x:f>
      </x:c>
      <x:c r="M210" s="36"/>
      <x:c r="N210" s="37"/>
      <x:c r="O210" s="37"/>
      <x:c r="P210" s="30" t="n">
        <x:f>IF(ISNUMBER(J210),0,1)</x:f>
        <x:v>1</x:v>
      </x:c>
    </x:row>
    <x:row r="211" ht="54" customHeight="1">
      <x:c r="A211" s="30" t="str">
        <x:v>P11 / C5-A1</x:v>
      </x:c>
      <x:c r="B211" s="30" t="str">
        <x:v>C5</x:v>
      </x:c>
      <x:c r="C211" s="30" t="str">
        <x:v>P11</x:v>
      </x:c>
      <x:c r="D211" s="30" t="str">
        <x:v>C5-A1</x:v>
      </x:c>
      <x:c r="E211" s="30" t="str">
        <x:v>Jeiner de Jesús Castellanos Barliza</x:v>
      </x:c>
      <x:c r="F211" s="30" t="str">
        <x:v>Apoyo técnico</x:v>
      </x:c>
      <x:c r="G211" s="35" t="n">
        <x:v>0.06302521008403361</x:v>
      </x:c>
      <x:c r="H211" s="33" t="n">
        <x:f>INDEX(Actividades!$I$6:$I$104,MATCH(A211,Actividades!$A$6:$A$104,0))</x:f>
        <x:v>0.85</x:v>
      </x:c>
      <x:c r="I211" s="33" t="n">
        <x:f>G211*H211</x:f>
        <x:v>0.05357142857142857</x:v>
      </x:c>
      <x:c r="J211" s="35"/>
      <x:c r="K211" s="33" t="str">
        <x:f>IF(ISNUMBER(J211),G211*J211,"")</x:f>
      </x:c>
      <x:c r="L211" s="33" t="str">
        <x:f>IF(ISNUMBER(J211),I211*J211,"")</x:f>
      </x:c>
      <x:c r="M211" s="36"/>
      <x:c r="N211" s="37"/>
      <x:c r="O211" s="37"/>
      <x:c r="P211" s="30" t="n">
        <x:f>IF(ISNUMBER(J211),0,1)</x:f>
        <x:v>1</x:v>
      </x:c>
    </x:row>
    <x:row r="212" ht="54" customHeight="1">
      <x:c r="A212" s="30" t="str">
        <x:v>P11 / C5-A1</x:v>
      </x:c>
      <x:c r="B212" s="30" t="str">
        <x:v>C5</x:v>
      </x:c>
      <x:c r="C212" s="30" t="str">
        <x:v>P11</x:v>
      </x:c>
      <x:c r="D212" s="30" t="str">
        <x:v>C5-A1</x:v>
      </x:c>
      <x:c r="E212" s="30" t="str">
        <x:v>Liliana Restrepo</x:v>
      </x:c>
      <x:c r="F212" s="30" t="str">
        <x:v>Apoyo técnico</x:v>
      </x:c>
      <x:c r="G212" s="35" t="n">
        <x:v>0.06302521008403361</x:v>
      </x:c>
      <x:c r="H212" s="33" t="n">
        <x:f>INDEX(Actividades!$I$6:$I$104,MATCH(A212,Actividades!$A$6:$A$104,0))</x:f>
        <x:v>0.85</x:v>
      </x:c>
      <x:c r="I212" s="33" t="n">
        <x:f>G212*H212</x:f>
        <x:v>0.05357142857142857</x:v>
      </x:c>
      <x:c r="J212" s="35"/>
      <x:c r="K212" s="33" t="str">
        <x:f>IF(ISNUMBER(J212),G212*J212,"")</x:f>
      </x:c>
      <x:c r="L212" s="33" t="str">
        <x:f>IF(ISNUMBER(J212),I212*J212,"")</x:f>
      </x:c>
      <x:c r="M212" s="36"/>
      <x:c r="N212" s="37"/>
      <x:c r="O212" s="37"/>
      <x:c r="P212" s="30" t="n">
        <x:f>IF(ISNUMBER(J212),0,1)</x:f>
        <x:v>1</x:v>
      </x:c>
    </x:row>
    <x:row r="213" ht="54" customHeight="1">
      <x:c r="A213" s="30" t="str">
        <x:v>P11 / C5-A1</x:v>
      </x:c>
      <x:c r="B213" s="30" t="str">
        <x:v>C5</x:v>
      </x:c>
      <x:c r="C213" s="30" t="str">
        <x:v>P11</x:v>
      </x:c>
      <x:c r="D213" s="30" t="str">
        <x:v>C5-A1</x:v>
      </x:c>
      <x:c r="E213" s="30" t="str">
        <x:v>Paola Andrea Ruiz Franco</x:v>
      </x:c>
      <x:c r="F213" s="30" t="str">
        <x:v>Coordinación técnica, integración y seguimiento</x:v>
      </x:c>
      <x:c r="G213" s="35" t="n">
        <x:v>0.11764705882352941</x:v>
      </x:c>
      <x:c r="H213" s="33" t="n">
        <x:f>INDEX(Actividades!$I$6:$I$104,MATCH(A213,Actividades!$A$6:$A$104,0))</x:f>
        <x:v>0.85</x:v>
      </x:c>
      <x:c r="I213" s="33" t="n">
        <x:f>G213*H213</x:f>
        <x:v>0.09999999999999999</x:v>
      </x:c>
      <x:c r="J213" s="35"/>
      <x:c r="K213" s="33" t="str">
        <x:f>IF(ISNUMBER(J213),G213*J213,"")</x:f>
      </x:c>
      <x:c r="L213" s="33" t="str">
        <x:f>IF(ISNUMBER(J213),I213*J213,"")</x:f>
      </x:c>
      <x:c r="M213" s="36"/>
      <x:c r="N213" s="37"/>
      <x:c r="O213" s="37"/>
      <x:c r="P213" s="30" t="n">
        <x:f>IF(ISNUMBER(J213),0,1)</x:f>
        <x:v>1</x:v>
      </x:c>
    </x:row>
    <x:row r="214" ht="54" customHeight="1">
      <x:c r="A214" s="30" t="str">
        <x:v>P11 / R01</x:v>
      </x:c>
      <x:c r="B214" s="30" t="str">
        <x:v>C5</x:v>
      </x:c>
      <x:c r="C214" s="30" t="str">
        <x:v>P11</x:v>
      </x:c>
      <x:c r="D214" s="30" t="str">
        <x:v>R01</x:v>
      </x:c>
      <x:c r="E214" s="30" t="str">
        <x:v>Guillermo Penagos</x:v>
      </x:c>
      <x:c r="F214" s="30" t="str">
        <x:v>Revisión técnica y cierre para envío a Secretaría</x:v>
      </x:c>
      <x:c r="G214" s="35" t="n">
        <x:v>0.5</x:v>
      </x:c>
      <x:c r="H214" s="33" t="n">
        <x:f>INDEX(Actividades!$I$6:$I$104,MATCH(A214,Actividades!$A$6:$A$104,0))</x:f>
        <x:v>0.1</x:v>
      </x:c>
      <x:c r="I214" s="33" t="n">
        <x:f>G214*H214</x:f>
        <x:v>0.05</x:v>
      </x:c>
      <x:c r="J214" s="35"/>
      <x:c r="K214" s="33" t="str">
        <x:f>IF(ISNUMBER(J214),G214*J214,"")</x:f>
      </x:c>
      <x:c r="L214" s="33" t="str">
        <x:f>IF(ISNUMBER(J214),I214*J214,"")</x:f>
      </x:c>
      <x:c r="M214" s="36"/>
      <x:c r="N214" s="37"/>
      <x:c r="O214" s="37"/>
      <x:c r="P214" s="30" t="n">
        <x:f>IF(ISNUMBER(J214),0,1)</x:f>
        <x:v>1</x:v>
      </x:c>
    </x:row>
    <x:row r="215" ht="54" customHeight="1">
      <x:c r="A215" s="30" t="str">
        <x:v>P11 / R01</x:v>
      </x:c>
      <x:c r="B215" s="30" t="str">
        <x:v>C5</x:v>
      </x:c>
      <x:c r="C215" s="30" t="str">
        <x:v>P11</x:v>
      </x:c>
      <x:c r="D215" s="30" t="str">
        <x:v>R01</x:v>
      </x:c>
      <x:c r="E215" s="30" t="str">
        <x:v>María José Suárez</x:v>
      </x:c>
      <x:c r="F215" s="30" t="str">
        <x:v>Revisión integral y cierre para envío a Secretaría</x:v>
      </x:c>
      <x:c r="G215" s="35" t="n">
        <x:v>0.5</x:v>
      </x:c>
      <x:c r="H215" s="33" t="n">
        <x:f>INDEX(Actividades!$I$6:$I$104,MATCH(A215,Actividades!$A$6:$A$104,0))</x:f>
        <x:v>0.1</x:v>
      </x:c>
      <x:c r="I215" s="33" t="n">
        <x:f>G215*H215</x:f>
        <x:v>0.05</x:v>
      </x:c>
      <x:c r="J215" s="35"/>
      <x:c r="K215" s="33" t="str">
        <x:f>IF(ISNUMBER(J215),G215*J215,"")</x:f>
      </x:c>
      <x:c r="L215" s="33" t="str">
        <x:f>IF(ISNUMBER(J215),I215*J215,"")</x:f>
      </x:c>
      <x:c r="M215" s="36"/>
      <x:c r="N215" s="37"/>
      <x:c r="O215" s="37"/>
      <x:c r="P215" s="30" t="n">
        <x:f>IF(ISNUMBER(J215),0,1)</x:f>
        <x:v>1</x:v>
      </x:c>
    </x:row>
    <x:row r="216" ht="54" customHeight="1">
      <x:c r="A216" s="30" t="str">
        <x:v>P11 / R02</x:v>
      </x:c>
      <x:c r="B216" s="30" t="str">
        <x:v>C5</x:v>
      </x:c>
      <x:c r="C216" s="30" t="str">
        <x:v>P11</x:v>
      </x:c>
      <x:c r="D216" s="30" t="str">
        <x:v>R02</x:v>
      </x:c>
      <x:c r="E216" s="30" t="str">
        <x:v>Juana — Secretaría de Medio Ambiente</x:v>
      </x:c>
      <x:c r="F216" s="30" t="str">
        <x:v>Validación y revisión final institucional</x:v>
      </x:c>
      <x:c r="G216" s="35" t="n">
        <x:v>1</x:v>
      </x:c>
      <x:c r="H216" s="33" t="n">
        <x:f>INDEX(Actividades!$I$6:$I$104,MATCH(A216,Actividades!$A$6:$A$104,0))</x:f>
        <x:v>0.05</x:v>
      </x:c>
      <x:c r="I216" s="33" t="n">
        <x:f>G216*H216</x:f>
        <x:v>0.05</x:v>
      </x:c>
      <x:c r="J216" s="35"/>
      <x:c r="K216" s="33" t="str">
        <x:f>IF(ISNUMBER(J216),G216*J216,"")</x:f>
      </x:c>
      <x:c r="L216" s="33" t="str">
        <x:f>IF(ISNUMBER(J216),I216*J216,"")</x:f>
      </x:c>
      <x:c r="M216" s="36"/>
      <x:c r="N216" s="37"/>
      <x:c r="O216" s="37"/>
      <x:c r="P216" s="30" t="n">
        <x:f>IF(ISNUMBER(J216),0,1)</x:f>
        <x:v>1</x:v>
      </x:c>
    </x:row>
    <x:row r="217" ht="54" customHeight="1">
      <x:c r="A217" s="30" t="str">
        <x:v>P12 / C5-A1</x:v>
      </x:c>
      <x:c r="B217" s="30" t="str">
        <x:v>C5</x:v>
      </x:c>
      <x:c r="C217" s="30" t="str">
        <x:v>P12</x:v>
      </x:c>
      <x:c r="D217" s="30" t="str">
        <x:v>C5-A1</x:v>
      </x:c>
      <x:c r="E217" s="30" t="str">
        <x:v>Diana Carolina Ríos Echeverri</x:v>
      </x:c>
      <x:c r="F217" s="30" t="str">
        <x:v>Elaboración técnica</x:v>
      </x:c>
      <x:c r="G217" s="35" t="n">
        <x:v>0.5882352941176471</x:v>
      </x:c>
      <x:c r="H217" s="33" t="n">
        <x:f>INDEX(Actividades!$I$6:$I$104,MATCH(A217,Actividades!$A$6:$A$104,0))</x:f>
        <x:v>0.17</x:v>
      </x:c>
      <x:c r="I217" s="33" t="n">
        <x:f>G217*H217</x:f>
        <x:v>0.1</x:v>
      </x:c>
      <x:c r="J217" s="35"/>
      <x:c r="K217" s="33" t="str">
        <x:f>IF(ISNUMBER(J217),G217*J217,"")</x:f>
      </x:c>
      <x:c r="L217" s="33" t="str">
        <x:f>IF(ISNUMBER(J217),I217*J217,"")</x:f>
      </x:c>
      <x:c r="M217" s="36"/>
      <x:c r="N217" s="37"/>
      <x:c r="O217" s="37"/>
      <x:c r="P217" s="30" t="n">
        <x:f>IF(ISNUMBER(J217),0,1)</x:f>
        <x:v>1</x:v>
      </x:c>
    </x:row>
    <x:row r="218" ht="54" customHeight="1">
      <x:c r="A218" s="30" t="str">
        <x:v>P12 / C5-A1</x:v>
      </x:c>
      <x:c r="B218" s="30" t="str">
        <x:v>C5</x:v>
      </x:c>
      <x:c r="C218" s="30" t="str">
        <x:v>P12</x:v>
      </x:c>
      <x:c r="D218" s="30" t="str">
        <x:v>C5-A1</x:v>
      </x:c>
      <x:c r="E218" s="30" t="str">
        <x:v>Sebastián Cartagena</x:v>
      </x:c>
      <x:c r="F218" s="30" t="str">
        <x:v>Apoyo técnico</x:v>
      </x:c>
      <x:c r="G218" s="35" t="n">
        <x:v>0.29411764705882354</x:v>
      </x:c>
      <x:c r="H218" s="33" t="n">
        <x:f>INDEX(Actividades!$I$6:$I$104,MATCH(A218,Actividades!$A$6:$A$104,0))</x:f>
        <x:v>0.17</x:v>
      </x:c>
      <x:c r="I218" s="33" t="n">
        <x:f>G218*H218</x:f>
        <x:v>0.05</x:v>
      </x:c>
      <x:c r="J218" s="35"/>
      <x:c r="K218" s="33" t="str">
        <x:f>IF(ISNUMBER(J218),G218*J218,"")</x:f>
      </x:c>
      <x:c r="L218" s="33" t="str">
        <x:f>IF(ISNUMBER(J218),I218*J218,"")</x:f>
      </x:c>
      <x:c r="M218" s="36"/>
      <x:c r="N218" s="37"/>
      <x:c r="O218" s="37"/>
      <x:c r="P218" s="30" t="n">
        <x:f>IF(ISNUMBER(J218),0,1)</x:f>
        <x:v>1</x:v>
      </x:c>
    </x:row>
    <x:row r="219" ht="54" customHeight="1">
      <x:c r="A219" s="30" t="str">
        <x:v>P12 / C5-A1</x:v>
      </x:c>
      <x:c r="B219" s="30" t="str">
        <x:v>C5</x:v>
      </x:c>
      <x:c r="C219" s="30" t="str">
        <x:v>P12</x:v>
      </x:c>
      <x:c r="D219" s="30" t="str">
        <x:v>C5-A1</x:v>
      </x:c>
      <x:c r="E219" s="30" t="str">
        <x:v>Paola Andrea Ruiz Franco</x:v>
      </x:c>
      <x:c r="F219" s="30" t="str">
        <x:v>Coordinación técnica, integración y seguimiento</x:v>
      </x:c>
      <x:c r="G219" s="35" t="n">
        <x:v>0.11764705882352941</x:v>
      </x:c>
      <x:c r="H219" s="33" t="n">
        <x:f>INDEX(Actividades!$I$6:$I$104,MATCH(A219,Actividades!$A$6:$A$104,0))</x:f>
        <x:v>0.17</x:v>
      </x:c>
      <x:c r="I219" s="33" t="n">
        <x:f>G219*H219</x:f>
        <x:v>0.02</x:v>
      </x:c>
      <x:c r="J219" s="35"/>
      <x:c r="K219" s="33" t="str">
        <x:f>IF(ISNUMBER(J219),G219*J219,"")</x:f>
      </x:c>
      <x:c r="L219" s="33" t="str">
        <x:f>IF(ISNUMBER(J219),I219*J219,"")</x:f>
      </x:c>
      <x:c r="M219" s="36"/>
      <x:c r="N219" s="37"/>
      <x:c r="O219" s="37"/>
      <x:c r="P219" s="30" t="n">
        <x:f>IF(ISNUMBER(J219),0,1)</x:f>
        <x:v>1</x:v>
      </x:c>
    </x:row>
    <x:row r="220" ht="54" customHeight="1">
      <x:c r="A220" s="30" t="str">
        <x:v>P12 / C5-A2</x:v>
      </x:c>
      <x:c r="B220" s="30" t="str">
        <x:v>C5</x:v>
      </x:c>
      <x:c r="C220" s="30" t="str">
        <x:v>P12</x:v>
      </x:c>
      <x:c r="D220" s="30" t="str">
        <x:v>C5-A2</x:v>
      </x:c>
      <x:c r="E220" s="30" t="str">
        <x:v>Alejandro Silva Cortés</x:v>
      </x:c>
      <x:c r="F220" s="30" t="str">
        <x:v>Elaboración técnica</x:v>
      </x:c>
      <x:c r="G220" s="35" t="n">
        <x:v>0.5882352941176471</x:v>
      </x:c>
      <x:c r="H220" s="33" t="n">
        <x:f>INDEX(Actividades!$I$6:$I$104,MATCH(A220,Actividades!$A$6:$A$104,0))</x:f>
        <x:v>0.255</x:v>
      </x:c>
      <x:c r="I220" s="33" t="n">
        <x:f>G220*H220</x:f>
        <x:v>0.15</x:v>
      </x:c>
      <x:c r="J220" s="35"/>
      <x:c r="K220" s="33" t="str">
        <x:f>IF(ISNUMBER(J220),G220*J220,"")</x:f>
      </x:c>
      <x:c r="L220" s="33" t="str">
        <x:f>IF(ISNUMBER(J220),I220*J220,"")</x:f>
      </x:c>
      <x:c r="M220" s="36"/>
      <x:c r="N220" s="37"/>
      <x:c r="O220" s="37"/>
      <x:c r="P220" s="30" t="n">
        <x:f>IF(ISNUMBER(J220),0,1)</x:f>
        <x:v>1</x:v>
      </x:c>
    </x:row>
    <x:row r="221" ht="54" customHeight="1">
      <x:c r="A221" s="30" t="str">
        <x:v>P12 / C5-A2</x:v>
      </x:c>
      <x:c r="B221" s="30" t="str">
        <x:v>C5</x:v>
      </x:c>
      <x:c r="C221" s="30" t="str">
        <x:v>P12</x:v>
      </x:c>
      <x:c r="D221" s="30" t="str">
        <x:v>C5-A2</x:v>
      </x:c>
      <x:c r="E221" s="30" t="str">
        <x:v>Diana Carolina Ríos Echeverri</x:v>
      </x:c>
      <x:c r="F221" s="30" t="str">
        <x:v>Apoyo técnico</x:v>
      </x:c>
      <x:c r="G221" s="35" t="n">
        <x:v>0.29411764705882354</x:v>
      </x:c>
      <x:c r="H221" s="33" t="n">
        <x:f>INDEX(Actividades!$I$6:$I$104,MATCH(A221,Actividades!$A$6:$A$104,0))</x:f>
        <x:v>0.255</x:v>
      </x:c>
      <x:c r="I221" s="33" t="n">
        <x:f>G221*H221</x:f>
        <x:v>0.075</x:v>
      </x:c>
      <x:c r="J221" s="35"/>
      <x:c r="K221" s="33" t="str">
        <x:f>IF(ISNUMBER(J221),G221*J221,"")</x:f>
      </x:c>
      <x:c r="L221" s="33" t="str">
        <x:f>IF(ISNUMBER(J221),I221*J221,"")</x:f>
      </x:c>
      <x:c r="M221" s="36"/>
      <x:c r="N221" s="37"/>
      <x:c r="O221" s="37"/>
      <x:c r="P221" s="30" t="n">
        <x:f>IF(ISNUMBER(J221),0,1)</x:f>
        <x:v>1</x:v>
      </x:c>
    </x:row>
    <x:row r="222" ht="54" customHeight="1">
      <x:c r="A222" s="30" t="str">
        <x:v>P12 / C5-A2</x:v>
      </x:c>
      <x:c r="B222" s="30" t="str">
        <x:v>C5</x:v>
      </x:c>
      <x:c r="C222" s="30" t="str">
        <x:v>P12</x:v>
      </x:c>
      <x:c r="D222" s="30" t="str">
        <x:v>C5-A2</x:v>
      </x:c>
      <x:c r="E222" s="30" t="str">
        <x:v>Paola Andrea Ruiz Franco</x:v>
      </x:c>
      <x:c r="F222" s="30" t="str">
        <x:v>Coordinación técnica, integración y seguimiento</x:v>
      </x:c>
      <x:c r="G222" s="35" t="n">
        <x:v>0.11764705882352941</x:v>
      </x:c>
      <x:c r="H222" s="33" t="n">
        <x:f>INDEX(Actividades!$I$6:$I$104,MATCH(A222,Actividades!$A$6:$A$104,0))</x:f>
        <x:v>0.255</x:v>
      </x:c>
      <x:c r="I222" s="33" t="n">
        <x:f>G222*H222</x:f>
        <x:v>0.03</x:v>
      </x:c>
      <x:c r="J222" s="35"/>
      <x:c r="K222" s="33" t="str">
        <x:f>IF(ISNUMBER(J222),G222*J222,"")</x:f>
      </x:c>
      <x:c r="L222" s="33" t="str">
        <x:f>IF(ISNUMBER(J222),I222*J222,"")</x:f>
      </x:c>
      <x:c r="M222" s="36"/>
      <x:c r="N222" s="37"/>
      <x:c r="O222" s="37"/>
      <x:c r="P222" s="30" t="n">
        <x:f>IF(ISNUMBER(J222),0,1)</x:f>
        <x:v>1</x:v>
      </x:c>
    </x:row>
    <x:row r="223" ht="54" customHeight="1">
      <x:c r="A223" s="30" t="str">
        <x:v>P12 / C5-A3</x:v>
      </x:c>
      <x:c r="B223" s="30" t="str">
        <x:v>C5</x:v>
      </x:c>
      <x:c r="C223" s="30" t="str">
        <x:v>P12</x:v>
      </x:c>
      <x:c r="D223" s="30" t="str">
        <x:v>C5-A3</x:v>
      </x:c>
      <x:c r="E223" s="30" t="str">
        <x:v>Marcos Arango Tamayo</x:v>
      </x:c>
      <x:c r="F223" s="30" t="str">
        <x:v>Elaboración técnica</x:v>
      </x:c>
      <x:c r="G223" s="35" t="n">
        <x:v>0.22058823529411764</x:v>
      </x:c>
      <x:c r="H223" s="33" t="n">
        <x:f>INDEX(Actividades!$I$6:$I$104,MATCH(A223,Actividades!$A$6:$A$104,0))</x:f>
        <x:v>0.425</x:v>
      </x:c>
      <x:c r="I223" s="33" t="n">
        <x:f>G223*H223</x:f>
        <x:v>0.09375</x:v>
      </x:c>
      <x:c r="J223" s="35"/>
      <x:c r="K223" s="33" t="str">
        <x:f>IF(ISNUMBER(J223),G223*J223,"")</x:f>
      </x:c>
      <x:c r="L223" s="33" t="str">
        <x:f>IF(ISNUMBER(J223),I223*J223,"")</x:f>
      </x:c>
      <x:c r="M223" s="36"/>
      <x:c r="N223" s="37"/>
      <x:c r="O223" s="37"/>
      <x:c r="P223" s="30" t="n">
        <x:f>IF(ISNUMBER(J223),0,1)</x:f>
        <x:v>1</x:v>
      </x:c>
    </x:row>
    <x:row r="224" ht="54" customHeight="1">
      <x:c r="A224" s="30" t="str">
        <x:v>P12 / C5-A3</x:v>
      </x:c>
      <x:c r="B224" s="30" t="str">
        <x:v>C5</x:v>
      </x:c>
      <x:c r="C224" s="30" t="str">
        <x:v>P12</x:v>
      </x:c>
      <x:c r="D224" s="30" t="str">
        <x:v>C5-A3</x:v>
      </x:c>
      <x:c r="E224" s="30" t="str">
        <x:v>Diana Carolina Ríos Echeverri</x:v>
      </x:c>
      <x:c r="F224" s="30" t="str">
        <x:v>Elaboración técnica</x:v>
      </x:c>
      <x:c r="G224" s="35" t="n">
        <x:v>0.22058823529411764</x:v>
      </x:c>
      <x:c r="H224" s="33" t="n">
        <x:f>INDEX(Actividades!$I$6:$I$104,MATCH(A224,Actividades!$A$6:$A$104,0))</x:f>
        <x:v>0.425</x:v>
      </x:c>
      <x:c r="I224" s="33" t="n">
        <x:f>G224*H224</x:f>
        <x:v>0.09375</x:v>
      </x:c>
      <x:c r="J224" s="35"/>
      <x:c r="K224" s="33" t="str">
        <x:f>IF(ISNUMBER(J224),G224*J224,"")</x:f>
      </x:c>
      <x:c r="L224" s="33" t="str">
        <x:f>IF(ISNUMBER(J224),I224*J224,"")</x:f>
      </x:c>
      <x:c r="M224" s="36"/>
      <x:c r="N224" s="37"/>
      <x:c r="O224" s="37"/>
      <x:c r="P224" s="30" t="n">
        <x:f>IF(ISNUMBER(J224),0,1)</x:f>
        <x:v>1</x:v>
      </x:c>
    </x:row>
    <x:row r="225" ht="54" customHeight="1">
      <x:c r="A225" s="30" t="str">
        <x:v>P12 / C5-A3</x:v>
      </x:c>
      <x:c r="B225" s="30" t="str">
        <x:v>C5</x:v>
      </x:c>
      <x:c r="C225" s="30" t="str">
        <x:v>P12</x:v>
      </x:c>
      <x:c r="D225" s="30" t="str">
        <x:v>C5-A3</x:v>
      </x:c>
      <x:c r="E225" s="30" t="str">
        <x:v>Alejandro Silva Cortés</x:v>
      </x:c>
      <x:c r="F225" s="30" t="str">
        <x:v>Elaboración técnica</x:v>
      </x:c>
      <x:c r="G225" s="35" t="n">
        <x:v>0.22058823529411764</x:v>
      </x:c>
      <x:c r="H225" s="33" t="n">
        <x:f>INDEX(Actividades!$I$6:$I$104,MATCH(A225,Actividades!$A$6:$A$104,0))</x:f>
        <x:v>0.425</x:v>
      </x:c>
      <x:c r="I225" s="33" t="n">
        <x:f>G225*H225</x:f>
        <x:v>0.09375</x:v>
      </x:c>
      <x:c r="J225" s="35"/>
      <x:c r="K225" s="33" t="str">
        <x:f>IF(ISNUMBER(J225),G225*J225,"")</x:f>
      </x:c>
      <x:c r="L225" s="33" t="str">
        <x:f>IF(ISNUMBER(J225),I225*J225,"")</x:f>
      </x:c>
      <x:c r="M225" s="36"/>
      <x:c r="N225" s="37"/>
      <x:c r="O225" s="37"/>
      <x:c r="P225" s="30" t="n">
        <x:f>IF(ISNUMBER(J225),0,1)</x:f>
        <x:v>1</x:v>
      </x:c>
    </x:row>
    <x:row r="226" ht="54" customHeight="1">
      <x:c r="A226" s="30" t="str">
        <x:v>P12 / C5-A3</x:v>
      </x:c>
      <x:c r="B226" s="30" t="str">
        <x:v>C5</x:v>
      </x:c>
      <x:c r="C226" s="30" t="str">
        <x:v>P12</x:v>
      </x:c>
      <x:c r="D226" s="30" t="str">
        <x:v>C5-A3</x:v>
      </x:c>
      <x:c r="E226" s="30" t="str">
        <x:v>Juliana Valencia</x:v>
      </x:c>
      <x:c r="F226" s="30" t="str">
        <x:v>Apoyo técnico</x:v>
      </x:c>
      <x:c r="G226" s="35" t="n">
        <x:v>0.11029411764705882</x:v>
      </x:c>
      <x:c r="H226" s="33" t="n">
        <x:f>INDEX(Actividades!$I$6:$I$104,MATCH(A226,Actividades!$A$6:$A$104,0))</x:f>
        <x:v>0.425</x:v>
      </x:c>
      <x:c r="I226" s="33" t="n">
        <x:f>G226*H226</x:f>
        <x:v>0.046875</x:v>
      </x:c>
      <x:c r="J226" s="35"/>
      <x:c r="K226" s="33" t="str">
        <x:f>IF(ISNUMBER(J226),G226*J226,"")</x:f>
      </x:c>
      <x:c r="L226" s="33" t="str">
        <x:f>IF(ISNUMBER(J226),I226*J226,"")</x:f>
      </x:c>
      <x:c r="M226" s="36"/>
      <x:c r="N226" s="37"/>
      <x:c r="O226" s="37"/>
      <x:c r="P226" s="30" t="n">
        <x:f>IF(ISNUMBER(J226),0,1)</x:f>
        <x:v>1</x:v>
      </x:c>
    </x:row>
    <x:row r="227" ht="54" customHeight="1">
      <x:c r="A227" s="30" t="str">
        <x:v>P12 / C5-A3</x:v>
      </x:c>
      <x:c r="B227" s="30" t="str">
        <x:v>C5</x:v>
      </x:c>
      <x:c r="C227" s="30" t="str">
        <x:v>P12</x:v>
      </x:c>
      <x:c r="D227" s="30" t="str">
        <x:v>C5-A3</x:v>
      </x:c>
      <x:c r="E227" s="30" t="str">
        <x:v>Vanessa García Leoz</x:v>
      </x:c>
      <x:c r="F227" s="30" t="str">
        <x:v>Apoyo técnico</x:v>
      </x:c>
      <x:c r="G227" s="35" t="n">
        <x:v>0.11029411764705882</x:v>
      </x:c>
      <x:c r="H227" s="33" t="n">
        <x:f>INDEX(Actividades!$I$6:$I$104,MATCH(A227,Actividades!$A$6:$A$104,0))</x:f>
        <x:v>0.425</x:v>
      </x:c>
      <x:c r="I227" s="33" t="n">
        <x:f>G227*H227</x:f>
        <x:v>0.046875</x:v>
      </x:c>
      <x:c r="J227" s="35"/>
      <x:c r="K227" s="33" t="str">
        <x:f>IF(ISNUMBER(J227),G227*J227,"")</x:f>
      </x:c>
      <x:c r="L227" s="33" t="str">
        <x:f>IF(ISNUMBER(J227),I227*J227,"")</x:f>
      </x:c>
      <x:c r="M227" s="36"/>
      <x:c r="N227" s="37"/>
      <x:c r="O227" s="37"/>
      <x:c r="P227" s="30" t="n">
        <x:f>IF(ISNUMBER(J227),0,1)</x:f>
        <x:v>1</x:v>
      </x:c>
    </x:row>
    <x:row r="228" ht="54" customHeight="1">
      <x:c r="A228" s="30" t="str">
        <x:v>P12 / C5-A3</x:v>
      </x:c>
      <x:c r="B228" s="30" t="str">
        <x:v>C5</x:v>
      </x:c>
      <x:c r="C228" s="30" t="str">
        <x:v>P12</x:v>
      </x:c>
      <x:c r="D228" s="30" t="str">
        <x:v>C5-A3</x:v>
      </x:c>
      <x:c r="E228" s="30" t="str">
        <x:v>Paola Andrea Ruiz Franco</x:v>
      </x:c>
      <x:c r="F228" s="30" t="str">
        <x:v>Coordinación técnica, integración y seguimiento</x:v>
      </x:c>
      <x:c r="G228" s="35" t="n">
        <x:v>0.11764705882352941</x:v>
      </x:c>
      <x:c r="H228" s="33" t="n">
        <x:f>INDEX(Actividades!$I$6:$I$104,MATCH(A228,Actividades!$A$6:$A$104,0))</x:f>
        <x:v>0.425</x:v>
      </x:c>
      <x:c r="I228" s="33" t="n">
        <x:f>G228*H228</x:f>
        <x:v>0.049999999999999996</x:v>
      </x:c>
      <x:c r="J228" s="35"/>
      <x:c r="K228" s="33" t="str">
        <x:f>IF(ISNUMBER(J228),G228*J228,"")</x:f>
      </x:c>
      <x:c r="L228" s="33" t="str">
        <x:f>IF(ISNUMBER(J228),I228*J228,"")</x:f>
      </x:c>
      <x:c r="M228" s="36"/>
      <x:c r="N228" s="37"/>
      <x:c r="O228" s="37"/>
      <x:c r="P228" s="30" t="n">
        <x:f>IF(ISNUMBER(J228),0,1)</x:f>
        <x:v>1</x:v>
      </x:c>
    </x:row>
    <x:row r="229" ht="54" customHeight="1">
      <x:c r="A229" s="30" t="str">
        <x:v>P12 / R01</x:v>
      </x:c>
      <x:c r="B229" s="30" t="str">
        <x:v>C5</x:v>
      </x:c>
      <x:c r="C229" s="30" t="str">
        <x:v>P12</x:v>
      </x:c>
      <x:c r="D229" s="30" t="str">
        <x:v>R01</x:v>
      </x:c>
      <x:c r="E229" s="30" t="str">
        <x:v>Guillermo Penagos</x:v>
      </x:c>
      <x:c r="F229" s="30" t="str">
        <x:v>Revisión técnica y cierre para envío a Secretaría</x:v>
      </x:c>
      <x:c r="G229" s="35" t="n">
        <x:v>0.5</x:v>
      </x:c>
      <x:c r="H229" s="33" t="n">
        <x:f>INDEX(Actividades!$I$6:$I$104,MATCH(A229,Actividades!$A$6:$A$104,0))</x:f>
        <x:v>0.1</x:v>
      </x:c>
      <x:c r="I229" s="33" t="n">
        <x:f>G229*H229</x:f>
        <x:v>0.05</x:v>
      </x:c>
      <x:c r="J229" s="35"/>
      <x:c r="K229" s="33" t="str">
        <x:f>IF(ISNUMBER(J229),G229*J229,"")</x:f>
      </x:c>
      <x:c r="L229" s="33" t="str">
        <x:f>IF(ISNUMBER(J229),I229*J229,"")</x:f>
      </x:c>
      <x:c r="M229" s="36"/>
      <x:c r="N229" s="37"/>
      <x:c r="O229" s="37"/>
      <x:c r="P229" s="30" t="n">
        <x:f>IF(ISNUMBER(J229),0,1)</x:f>
        <x:v>1</x:v>
      </x:c>
    </x:row>
    <x:row r="230" ht="54" customHeight="1">
      <x:c r="A230" s="30" t="str">
        <x:v>P12 / R01</x:v>
      </x:c>
      <x:c r="B230" s="30" t="str">
        <x:v>C5</x:v>
      </x:c>
      <x:c r="C230" s="30" t="str">
        <x:v>P12</x:v>
      </x:c>
      <x:c r="D230" s="30" t="str">
        <x:v>R01</x:v>
      </x:c>
      <x:c r="E230" s="30" t="str">
        <x:v>María José Suárez</x:v>
      </x:c>
      <x:c r="F230" s="30" t="str">
        <x:v>Revisión integral y cierre para envío a Secretaría</x:v>
      </x:c>
      <x:c r="G230" s="35" t="n">
        <x:v>0.5</x:v>
      </x:c>
      <x:c r="H230" s="33" t="n">
        <x:f>INDEX(Actividades!$I$6:$I$104,MATCH(A230,Actividades!$A$6:$A$104,0))</x:f>
        <x:v>0.1</x:v>
      </x:c>
      <x:c r="I230" s="33" t="n">
        <x:f>G230*H230</x:f>
        <x:v>0.05</x:v>
      </x:c>
      <x:c r="J230" s="35"/>
      <x:c r="K230" s="33" t="str">
        <x:f>IF(ISNUMBER(J230),G230*J230,"")</x:f>
      </x:c>
      <x:c r="L230" s="33" t="str">
        <x:f>IF(ISNUMBER(J230),I230*J230,"")</x:f>
      </x:c>
      <x:c r="M230" s="36"/>
      <x:c r="N230" s="37"/>
      <x:c r="O230" s="37"/>
      <x:c r="P230" s="30" t="n">
        <x:f>IF(ISNUMBER(J230),0,1)</x:f>
        <x:v>1</x:v>
      </x:c>
    </x:row>
    <x:row r="231" ht="54" customHeight="1">
      <x:c r="A231" s="30" t="str">
        <x:v>P12 / R02</x:v>
      </x:c>
      <x:c r="B231" s="30" t="str">
        <x:v>C5</x:v>
      </x:c>
      <x:c r="C231" s="30" t="str">
        <x:v>P12</x:v>
      </x:c>
      <x:c r="D231" s="30" t="str">
        <x:v>R02</x:v>
      </x:c>
      <x:c r="E231" s="30" t="str">
        <x:v>Juana — Secretaría de Medio Ambiente</x:v>
      </x:c>
      <x:c r="F231" s="30" t="str">
        <x:v>Validación y revisión final institucional</x:v>
      </x:c>
      <x:c r="G231" s="35" t="n">
        <x:v>1</x:v>
      </x:c>
      <x:c r="H231" s="33" t="n">
        <x:f>INDEX(Actividades!$I$6:$I$104,MATCH(A231,Actividades!$A$6:$A$104,0))</x:f>
        <x:v>0.05</x:v>
      </x:c>
      <x:c r="I231" s="33" t="n">
        <x:f>G231*H231</x:f>
        <x:v>0.05</x:v>
      </x:c>
      <x:c r="J231" s="35"/>
      <x:c r="K231" s="33" t="str">
        <x:f>IF(ISNUMBER(J231),G231*J231,"")</x:f>
      </x:c>
      <x:c r="L231" s="33" t="str">
        <x:f>IF(ISNUMBER(J231),I231*J231,"")</x:f>
      </x:c>
      <x:c r="M231" s="36"/>
      <x:c r="N231" s="37"/>
      <x:c r="O231" s="37"/>
      <x:c r="P231" s="30" t="n">
        <x:f>IF(ISNUMBER(J231),0,1)</x:f>
        <x:v>1</x:v>
      </x:c>
    </x:row>
    <x:row r="232" ht="54" customHeight="1">
      <x:c r="A232" s="30" t="str">
        <x:v>P13 / C5-A2</x:v>
      </x:c>
      <x:c r="B232" s="30" t="str">
        <x:v>C5</x:v>
      </x:c>
      <x:c r="C232" s="30" t="str">
        <x:v>P13</x:v>
      </x:c>
      <x:c r="D232" s="30" t="str">
        <x:v>C5-A2</x:v>
      </x:c>
      <x:c r="E232" s="30" t="str">
        <x:v>Alejandro Silva Cortés</x:v>
      </x:c>
      <x:c r="F232" s="30" t="str">
        <x:v>Elaboración técnica</x:v>
      </x:c>
      <x:c r="G232" s="35" t="n">
        <x:v>0.5882352941176471</x:v>
      </x:c>
      <x:c r="H232" s="33" t="n">
        <x:f>INDEX(Actividades!$I$6:$I$104,MATCH(A232,Actividades!$A$6:$A$104,0))</x:f>
        <x:v>0.2125</x:v>
      </x:c>
      <x:c r="I232" s="33" t="n">
        <x:f>G232*H232</x:f>
        <x:v>0.125</x:v>
      </x:c>
      <x:c r="J232" s="35"/>
      <x:c r="K232" s="33" t="str">
        <x:f>IF(ISNUMBER(J232),G232*J232,"")</x:f>
      </x:c>
      <x:c r="L232" s="33" t="str">
        <x:f>IF(ISNUMBER(J232),I232*J232,"")</x:f>
      </x:c>
      <x:c r="M232" s="36"/>
      <x:c r="N232" s="37"/>
      <x:c r="O232" s="37"/>
      <x:c r="P232" s="30" t="n">
        <x:f>IF(ISNUMBER(J232),0,1)</x:f>
        <x:v>1</x:v>
      </x:c>
    </x:row>
    <x:row r="233" ht="54" customHeight="1">
      <x:c r="A233" s="30" t="str">
        <x:v>P13 / C5-A2</x:v>
      </x:c>
      <x:c r="B233" s="30" t="str">
        <x:v>C5</x:v>
      </x:c>
      <x:c r="C233" s="30" t="str">
        <x:v>P13</x:v>
      </x:c>
      <x:c r="D233" s="30" t="str">
        <x:v>C5-A2</x:v>
      </x:c>
      <x:c r="E233" s="30" t="str">
        <x:v>Diana Carolina Ríos Echeverri</x:v>
      </x:c>
      <x:c r="F233" s="30" t="str">
        <x:v>Apoyo técnico</x:v>
      </x:c>
      <x:c r="G233" s="35" t="n">
        <x:v>0.29411764705882354</x:v>
      </x:c>
      <x:c r="H233" s="33" t="n">
        <x:f>INDEX(Actividades!$I$6:$I$104,MATCH(A233,Actividades!$A$6:$A$104,0))</x:f>
        <x:v>0.2125</x:v>
      </x:c>
      <x:c r="I233" s="33" t="n">
        <x:f>G233*H233</x:f>
        <x:v>0.0625</x:v>
      </x:c>
      <x:c r="J233" s="35"/>
      <x:c r="K233" s="33" t="str">
        <x:f>IF(ISNUMBER(J233),G233*J233,"")</x:f>
      </x:c>
      <x:c r="L233" s="33" t="str">
        <x:f>IF(ISNUMBER(J233),I233*J233,"")</x:f>
      </x:c>
      <x:c r="M233" s="36"/>
      <x:c r="N233" s="37"/>
      <x:c r="O233" s="37"/>
      <x:c r="P233" s="30" t="n">
        <x:f>IF(ISNUMBER(J233),0,1)</x:f>
        <x:v>1</x:v>
      </x:c>
    </x:row>
    <x:row r="234" ht="54" customHeight="1">
      <x:c r="A234" s="30" t="str">
        <x:v>P13 / C5-A2</x:v>
      </x:c>
      <x:c r="B234" s="30" t="str">
        <x:v>C5</x:v>
      </x:c>
      <x:c r="C234" s="30" t="str">
        <x:v>P13</x:v>
      </x:c>
      <x:c r="D234" s="30" t="str">
        <x:v>C5-A2</x:v>
      </x:c>
      <x:c r="E234" s="30" t="str">
        <x:v>Paola Andrea Ruiz Franco</x:v>
      </x:c>
      <x:c r="F234" s="30" t="str">
        <x:v>Coordinación técnica, integración y seguimiento</x:v>
      </x:c>
      <x:c r="G234" s="35" t="n">
        <x:v>0.11764705882352941</x:v>
      </x:c>
      <x:c r="H234" s="33" t="n">
        <x:f>INDEX(Actividades!$I$6:$I$104,MATCH(A234,Actividades!$A$6:$A$104,0))</x:f>
        <x:v>0.2125</x:v>
      </x:c>
      <x:c r="I234" s="33" t="n">
        <x:f>G234*H234</x:f>
        <x:v>0.024999999999999998</x:v>
      </x:c>
      <x:c r="J234" s="35"/>
      <x:c r="K234" s="33" t="str">
        <x:f>IF(ISNUMBER(J234),G234*J234,"")</x:f>
      </x:c>
      <x:c r="L234" s="33" t="str">
        <x:f>IF(ISNUMBER(J234),I234*J234,"")</x:f>
      </x:c>
      <x:c r="M234" s="36"/>
      <x:c r="N234" s="37"/>
      <x:c r="O234" s="37"/>
      <x:c r="P234" s="30" t="n">
        <x:f>IF(ISNUMBER(J234),0,1)</x:f>
        <x:v>1</x:v>
      </x:c>
    </x:row>
    <x:row r="235" ht="54" customHeight="1">
      <x:c r="A235" s="30" t="str">
        <x:v>P13 / C5-A3</x:v>
      </x:c>
      <x:c r="B235" s="30" t="str">
        <x:v>C5</x:v>
      </x:c>
      <x:c r="C235" s="30" t="str">
        <x:v>P13</x:v>
      </x:c>
      <x:c r="D235" s="30" t="str">
        <x:v>C5-A3</x:v>
      </x:c>
      <x:c r="E235" s="30" t="str">
        <x:v>Alejandro Silva Cortés</x:v>
      </x:c>
      <x:c r="F235" s="30" t="str">
        <x:v>Elaboración técnica</x:v>
      </x:c>
      <x:c r="G235" s="35" t="n">
        <x:v>0.5882352941176471</x:v>
      </x:c>
      <x:c r="H235" s="33" t="n">
        <x:f>INDEX(Actividades!$I$6:$I$104,MATCH(A235,Actividades!$A$6:$A$104,0))</x:f>
        <x:v>0.2125</x:v>
      </x:c>
      <x:c r="I235" s="33" t="n">
        <x:f>G235*H235</x:f>
        <x:v>0.125</x:v>
      </x:c>
      <x:c r="J235" s="35"/>
      <x:c r="K235" s="33" t="str">
        <x:f>IF(ISNUMBER(J235),G235*J235,"")</x:f>
      </x:c>
      <x:c r="L235" s="33" t="str">
        <x:f>IF(ISNUMBER(J235),I235*J235,"")</x:f>
      </x:c>
      <x:c r="M235" s="36"/>
      <x:c r="N235" s="37"/>
      <x:c r="O235" s="37"/>
      <x:c r="P235" s="30" t="n">
        <x:f>IF(ISNUMBER(J235),0,1)</x:f>
        <x:v>1</x:v>
      </x:c>
    </x:row>
    <x:row r="236" ht="54" customHeight="1">
      <x:c r="A236" s="30" t="str">
        <x:v>P13 / C5-A3</x:v>
      </x:c>
      <x:c r="B236" s="30" t="str">
        <x:v>C5</x:v>
      </x:c>
      <x:c r="C236" s="30" t="str">
        <x:v>P13</x:v>
      </x:c>
      <x:c r="D236" s="30" t="str">
        <x:v>C5-A3</x:v>
      </x:c>
      <x:c r="E236" s="30" t="str">
        <x:v>Daniel González Montoya</x:v>
      </x:c>
      <x:c r="F236" s="30" t="str">
        <x:v>Apoyo técnico</x:v>
      </x:c>
      <x:c r="G236" s="35" t="n">
        <x:v>0.29411764705882354</x:v>
      </x:c>
      <x:c r="H236" s="33" t="n">
        <x:f>INDEX(Actividades!$I$6:$I$104,MATCH(A236,Actividades!$A$6:$A$104,0))</x:f>
        <x:v>0.2125</x:v>
      </x:c>
      <x:c r="I236" s="33" t="n">
        <x:f>G236*H236</x:f>
        <x:v>0.0625</x:v>
      </x:c>
      <x:c r="J236" s="35"/>
      <x:c r="K236" s="33" t="str">
        <x:f>IF(ISNUMBER(J236),G236*J236,"")</x:f>
      </x:c>
      <x:c r="L236" s="33" t="str">
        <x:f>IF(ISNUMBER(J236),I236*J236,"")</x:f>
      </x:c>
      <x:c r="M236" s="36"/>
      <x:c r="N236" s="37"/>
      <x:c r="O236" s="37"/>
      <x:c r="P236" s="30" t="n">
        <x:f>IF(ISNUMBER(J236),0,1)</x:f>
        <x:v>1</x:v>
      </x:c>
    </x:row>
    <x:row r="237" ht="54" customHeight="1">
      <x:c r="A237" s="30" t="str">
        <x:v>P13 / C5-A3</x:v>
      </x:c>
      <x:c r="B237" s="30" t="str">
        <x:v>C5</x:v>
      </x:c>
      <x:c r="C237" s="30" t="str">
        <x:v>P13</x:v>
      </x:c>
      <x:c r="D237" s="30" t="str">
        <x:v>C5-A3</x:v>
      </x:c>
      <x:c r="E237" s="30" t="str">
        <x:v>Paola Andrea Ruiz Franco</x:v>
      </x:c>
      <x:c r="F237" s="30" t="str">
        <x:v>Coordinación técnica, integración y seguimiento</x:v>
      </x:c>
      <x:c r="G237" s="35" t="n">
        <x:v>0.11764705882352941</x:v>
      </x:c>
      <x:c r="H237" s="33" t="n">
        <x:f>INDEX(Actividades!$I$6:$I$104,MATCH(A237,Actividades!$A$6:$A$104,0))</x:f>
        <x:v>0.2125</x:v>
      </x:c>
      <x:c r="I237" s="33" t="n">
        <x:f>G237*H237</x:f>
        <x:v>0.024999999999999998</x:v>
      </x:c>
      <x:c r="J237" s="35"/>
      <x:c r="K237" s="33" t="str">
        <x:f>IF(ISNUMBER(J237),G237*J237,"")</x:f>
      </x:c>
      <x:c r="L237" s="33" t="str">
        <x:f>IF(ISNUMBER(J237),I237*J237,"")</x:f>
      </x:c>
      <x:c r="M237" s="36"/>
      <x:c r="N237" s="37"/>
      <x:c r="O237" s="37"/>
      <x:c r="P237" s="30" t="n">
        <x:f>IF(ISNUMBER(J237),0,1)</x:f>
        <x:v>1</x:v>
      </x:c>
    </x:row>
    <x:row r="238" ht="54" customHeight="1">
      <x:c r="A238" s="30" t="str">
        <x:v>P13 / C5-A4</x:v>
      </x:c>
      <x:c r="B238" s="30" t="str">
        <x:v>C5</x:v>
      </x:c>
      <x:c r="C238" s="30" t="str">
        <x:v>P13</x:v>
      </x:c>
      <x:c r="D238" s="30" t="str">
        <x:v>C5-A4</x:v>
      </x:c>
      <x:c r="E238" s="30" t="str">
        <x:v>Diana Carolina Ríos Echeverri</x:v>
      </x:c>
      <x:c r="F238" s="30" t="str">
        <x:v>Elaboración técnica</x:v>
      </x:c>
      <x:c r="G238" s="35" t="n">
        <x:v>0.29411764705882354</x:v>
      </x:c>
      <x:c r="H238" s="33" t="n">
        <x:f>INDEX(Actividades!$I$6:$I$104,MATCH(A238,Actividades!$A$6:$A$104,0))</x:f>
        <x:v>0.425</x:v>
      </x:c>
      <x:c r="I238" s="33" t="n">
        <x:f>G238*H238</x:f>
        <x:v>0.125</x:v>
      </x:c>
      <x:c r="J238" s="35"/>
      <x:c r="K238" s="33" t="str">
        <x:f>IF(ISNUMBER(J238),G238*J238,"")</x:f>
      </x:c>
      <x:c r="L238" s="33" t="str">
        <x:f>IF(ISNUMBER(J238),I238*J238,"")</x:f>
      </x:c>
      <x:c r="M238" s="36"/>
      <x:c r="N238" s="37"/>
      <x:c r="O238" s="37"/>
      <x:c r="P238" s="30" t="n">
        <x:f>IF(ISNUMBER(J238),0,1)</x:f>
        <x:v>1</x:v>
      </x:c>
    </x:row>
    <x:row r="239" ht="54" customHeight="1">
      <x:c r="A239" s="30" t="str">
        <x:v>P13 / C5-A4</x:v>
      </x:c>
      <x:c r="B239" s="30" t="str">
        <x:v>C5</x:v>
      </x:c>
      <x:c r="C239" s="30" t="str">
        <x:v>P13</x:v>
      </x:c>
      <x:c r="D239" s="30" t="str">
        <x:v>C5-A4</x:v>
      </x:c>
      <x:c r="E239" s="30" t="str">
        <x:v>Alejandro Silva Cortés</x:v>
      </x:c>
      <x:c r="F239" s="30" t="str">
        <x:v>Elaboración técnica</x:v>
      </x:c>
      <x:c r="G239" s="35" t="n">
        <x:v>0.29411764705882354</x:v>
      </x:c>
      <x:c r="H239" s="33" t="n">
        <x:f>INDEX(Actividades!$I$6:$I$104,MATCH(A239,Actividades!$A$6:$A$104,0))</x:f>
        <x:v>0.425</x:v>
      </x:c>
      <x:c r="I239" s="33" t="n">
        <x:f>G239*H239</x:f>
        <x:v>0.125</x:v>
      </x:c>
      <x:c r="J239" s="35"/>
      <x:c r="K239" s="33" t="str">
        <x:f>IF(ISNUMBER(J239),G239*J239,"")</x:f>
      </x:c>
      <x:c r="L239" s="33" t="str">
        <x:f>IF(ISNUMBER(J239),I239*J239,"")</x:f>
      </x:c>
      <x:c r="M239" s="36"/>
      <x:c r="N239" s="37"/>
      <x:c r="O239" s="37"/>
      <x:c r="P239" s="30" t="n">
        <x:f>IF(ISNUMBER(J239),0,1)</x:f>
        <x:v>1</x:v>
      </x:c>
    </x:row>
    <x:row r="240" ht="54" customHeight="1">
      <x:c r="A240" s="30" t="str">
        <x:v>P13 / C5-A4</x:v>
      </x:c>
      <x:c r="B240" s="30" t="str">
        <x:v>C5</x:v>
      </x:c>
      <x:c r="C240" s="30" t="str">
        <x:v>P13</x:v>
      </x:c>
      <x:c r="D240" s="30" t="str">
        <x:v>C5-A4</x:v>
      </x:c>
      <x:c r="E240" s="30" t="str">
        <x:v>Sebastián Cartagena</x:v>
      </x:c>
      <x:c r="F240" s="30" t="str">
        <x:v>Elaboración técnica</x:v>
      </x:c>
      <x:c r="G240" s="35" t="n">
        <x:v>0.29411764705882354</x:v>
      </x:c>
      <x:c r="H240" s="33" t="n">
        <x:f>INDEX(Actividades!$I$6:$I$104,MATCH(A240,Actividades!$A$6:$A$104,0))</x:f>
        <x:v>0.425</x:v>
      </x:c>
      <x:c r="I240" s="33" t="n">
        <x:f>G240*H240</x:f>
        <x:v>0.125</x:v>
      </x:c>
      <x:c r="J240" s="35"/>
      <x:c r="K240" s="33" t="str">
        <x:f>IF(ISNUMBER(J240),G240*J240,"")</x:f>
      </x:c>
      <x:c r="L240" s="33" t="str">
        <x:f>IF(ISNUMBER(J240),I240*J240,"")</x:f>
      </x:c>
      <x:c r="M240" s="36"/>
      <x:c r="N240" s="37"/>
      <x:c r="O240" s="37"/>
      <x:c r="P240" s="30" t="n">
        <x:f>IF(ISNUMBER(J240),0,1)</x:f>
        <x:v>1</x:v>
      </x:c>
    </x:row>
    <x:row r="241" ht="54" customHeight="1">
      <x:c r="A241" s="30" t="str">
        <x:v>P13 / C5-A4</x:v>
      </x:c>
      <x:c r="B241" s="30" t="str">
        <x:v>C5</x:v>
      </x:c>
      <x:c r="C241" s="30" t="str">
        <x:v>P13</x:v>
      </x:c>
      <x:c r="D241" s="30" t="str">
        <x:v>C5-A4</x:v>
      </x:c>
      <x:c r="E241" s="30" t="str">
        <x:v>Paola Andrea Ruiz Franco</x:v>
      </x:c>
      <x:c r="F241" s="30" t="str">
        <x:v>Coordinación técnica, integración y seguimiento</x:v>
      </x:c>
      <x:c r="G241" s="35" t="n">
        <x:v>0.11764705882352941</x:v>
      </x:c>
      <x:c r="H241" s="33" t="n">
        <x:f>INDEX(Actividades!$I$6:$I$104,MATCH(A241,Actividades!$A$6:$A$104,0))</x:f>
        <x:v>0.425</x:v>
      </x:c>
      <x:c r="I241" s="33" t="n">
        <x:f>G241*H241</x:f>
        <x:v>0.049999999999999996</x:v>
      </x:c>
      <x:c r="J241" s="35"/>
      <x:c r="K241" s="33" t="str">
        <x:f>IF(ISNUMBER(J241),G241*J241,"")</x:f>
      </x:c>
      <x:c r="L241" s="33" t="str">
        <x:f>IF(ISNUMBER(J241),I241*J241,"")</x:f>
      </x:c>
      <x:c r="M241" s="36"/>
      <x:c r="N241" s="37"/>
      <x:c r="O241" s="37"/>
      <x:c r="P241" s="30" t="n">
        <x:f>IF(ISNUMBER(J241),0,1)</x:f>
        <x:v>1</x:v>
      </x:c>
    </x:row>
    <x:row r="242" ht="54" customHeight="1">
      <x:c r="A242" s="30" t="str">
        <x:v>P13 / R01</x:v>
      </x:c>
      <x:c r="B242" s="30" t="str">
        <x:v>C5</x:v>
      </x:c>
      <x:c r="C242" s="30" t="str">
        <x:v>P13</x:v>
      </x:c>
      <x:c r="D242" s="30" t="str">
        <x:v>R01</x:v>
      </x:c>
      <x:c r="E242" s="30" t="str">
        <x:v>Guillermo Penagos</x:v>
      </x:c>
      <x:c r="F242" s="30" t="str">
        <x:v>Revisión técnica y cierre para envío a Secretaría</x:v>
      </x:c>
      <x:c r="G242" s="35" t="n">
        <x:v>0.5</x:v>
      </x:c>
      <x:c r="H242" s="33" t="n">
        <x:f>INDEX(Actividades!$I$6:$I$104,MATCH(A242,Actividades!$A$6:$A$104,0))</x:f>
        <x:v>0.1</x:v>
      </x:c>
      <x:c r="I242" s="33" t="n">
        <x:f>G242*H242</x:f>
        <x:v>0.05</x:v>
      </x:c>
      <x:c r="J242" s="35"/>
      <x:c r="K242" s="33" t="str">
        <x:f>IF(ISNUMBER(J242),G242*J242,"")</x:f>
      </x:c>
      <x:c r="L242" s="33" t="str">
        <x:f>IF(ISNUMBER(J242),I242*J242,"")</x:f>
      </x:c>
      <x:c r="M242" s="36"/>
      <x:c r="N242" s="37"/>
      <x:c r="O242" s="37"/>
      <x:c r="P242" s="30" t="n">
        <x:f>IF(ISNUMBER(J242),0,1)</x:f>
        <x:v>1</x:v>
      </x:c>
    </x:row>
    <x:row r="243" ht="54" customHeight="1">
      <x:c r="A243" s="30" t="str">
        <x:v>P13 / R01</x:v>
      </x:c>
      <x:c r="B243" s="30" t="str">
        <x:v>C5</x:v>
      </x:c>
      <x:c r="C243" s="30" t="str">
        <x:v>P13</x:v>
      </x:c>
      <x:c r="D243" s="30" t="str">
        <x:v>R01</x:v>
      </x:c>
      <x:c r="E243" s="30" t="str">
        <x:v>María José Suárez</x:v>
      </x:c>
      <x:c r="F243" s="30" t="str">
        <x:v>Revisión integral y cierre para envío a Secretaría</x:v>
      </x:c>
      <x:c r="G243" s="35" t="n">
        <x:v>0.5</x:v>
      </x:c>
      <x:c r="H243" s="33" t="n">
        <x:f>INDEX(Actividades!$I$6:$I$104,MATCH(A243,Actividades!$A$6:$A$104,0))</x:f>
        <x:v>0.1</x:v>
      </x:c>
      <x:c r="I243" s="33" t="n">
        <x:f>G243*H243</x:f>
        <x:v>0.05</x:v>
      </x:c>
      <x:c r="J243" s="35"/>
      <x:c r="K243" s="33" t="str">
        <x:f>IF(ISNUMBER(J243),G243*J243,"")</x:f>
      </x:c>
      <x:c r="L243" s="33" t="str">
        <x:f>IF(ISNUMBER(J243),I243*J243,"")</x:f>
      </x:c>
      <x:c r="M243" s="36"/>
      <x:c r="N243" s="37"/>
      <x:c r="O243" s="37"/>
      <x:c r="P243" s="30" t="n">
        <x:f>IF(ISNUMBER(J243),0,1)</x:f>
        <x:v>1</x:v>
      </x:c>
    </x:row>
    <x:row r="244" ht="54" customHeight="1">
      <x:c r="A244" s="30" t="str">
        <x:v>P13 / R02</x:v>
      </x:c>
      <x:c r="B244" s="30" t="str">
        <x:v>C5</x:v>
      </x:c>
      <x:c r="C244" s="30" t="str">
        <x:v>P13</x:v>
      </x:c>
      <x:c r="D244" s="30" t="str">
        <x:v>R02</x:v>
      </x:c>
      <x:c r="E244" s="30" t="str">
        <x:v>Juana — Secretaría de Medio Ambiente</x:v>
      </x:c>
      <x:c r="F244" s="30" t="str">
        <x:v>Validación y revisión final institucional</x:v>
      </x:c>
      <x:c r="G244" s="35" t="n">
        <x:v>1</x:v>
      </x:c>
      <x:c r="H244" s="33" t="n">
        <x:f>INDEX(Actividades!$I$6:$I$104,MATCH(A244,Actividades!$A$6:$A$104,0))</x:f>
        <x:v>0.05</x:v>
      </x:c>
      <x:c r="I244" s="33" t="n">
        <x:f>G244*H244</x:f>
        <x:v>0.05</x:v>
      </x:c>
      <x:c r="J244" s="35"/>
      <x:c r="K244" s="33" t="str">
        <x:f>IF(ISNUMBER(J244),G244*J244,"")</x:f>
      </x:c>
      <x:c r="L244" s="33" t="str">
        <x:f>IF(ISNUMBER(J244),I244*J244,"")</x:f>
      </x:c>
      <x:c r="M244" s="36"/>
      <x:c r="N244" s="37"/>
      <x:c r="O244" s="37"/>
      <x:c r="P244" s="30" t="n">
        <x:f>IF(ISNUMBER(J244),0,1)</x:f>
        <x:v>1</x:v>
      </x:c>
    </x:row>
    <x:row r="245" ht="54" customHeight="1">
      <x:c r="A245" s="30" t="str">
        <x:v>P14 / C5-A5</x:v>
      </x:c>
      <x:c r="B245" s="30" t="str">
        <x:v>C5</x:v>
      </x:c>
      <x:c r="C245" s="30" t="str">
        <x:v>P14</x:v>
      </x:c>
      <x:c r="D245" s="30" t="str">
        <x:v>C5-A5</x:v>
      </x:c>
      <x:c r="E245" s="30" t="str">
        <x:v>Luis Eduardo Vahos Hernández</x:v>
      </x:c>
      <x:c r="F245" s="30" t="str">
        <x:v>Elaboración técnica</x:v>
      </x:c>
      <x:c r="G245" s="35" t="n">
        <x:v>0.25210084033613445</x:v>
      </x:c>
      <x:c r="H245" s="33" t="n">
        <x:f>INDEX(Actividades!$I$6:$I$104,MATCH(A245,Actividades!$A$6:$A$104,0))</x:f>
        <x:v>0.34</x:v>
      </x:c>
      <x:c r="I245" s="33" t="n">
        <x:f>G245*H245</x:f>
        <x:v>0.08571428571428572</x:v>
      </x:c>
      <x:c r="J245" s="35"/>
      <x:c r="K245" s="33" t="str">
        <x:f>IF(ISNUMBER(J245),G245*J245,"")</x:f>
      </x:c>
      <x:c r="L245" s="33" t="str">
        <x:f>IF(ISNUMBER(J245),I245*J245,"")</x:f>
      </x:c>
      <x:c r="M245" s="36"/>
      <x:c r="N245" s="37"/>
      <x:c r="O245" s="37"/>
      <x:c r="P245" s="30" t="n">
        <x:f>IF(ISNUMBER(J245),0,1)</x:f>
        <x:v>1</x:v>
      </x:c>
    </x:row>
    <x:row r="246" ht="54" customHeight="1">
      <x:c r="A246" s="30" t="str">
        <x:v>P14 / C5-A5</x:v>
      </x:c>
      <x:c r="B246" s="30" t="str">
        <x:v>C5</x:v>
      </x:c>
      <x:c r="C246" s="30" t="str">
        <x:v>P14</x:v>
      </x:c>
      <x:c r="D246" s="30" t="str">
        <x:v>C5-A5</x:v>
      </x:c>
      <x:c r="E246" s="30" t="str">
        <x:v>León Darío Orrego Espejo</x:v>
      </x:c>
      <x:c r="F246" s="30" t="str">
        <x:v>Elaboración técnica</x:v>
      </x:c>
      <x:c r="G246" s="35" t="n">
        <x:v>0.25210084033613445</x:v>
      </x:c>
      <x:c r="H246" s="33" t="n">
        <x:f>INDEX(Actividades!$I$6:$I$104,MATCH(A246,Actividades!$A$6:$A$104,0))</x:f>
        <x:v>0.34</x:v>
      </x:c>
      <x:c r="I246" s="33" t="n">
        <x:f>G246*H246</x:f>
        <x:v>0.08571428571428572</x:v>
      </x:c>
      <x:c r="J246" s="35"/>
      <x:c r="K246" s="33" t="str">
        <x:f>IF(ISNUMBER(J246),G246*J246,"")</x:f>
      </x:c>
      <x:c r="L246" s="33" t="str">
        <x:f>IF(ISNUMBER(J246),I246*J246,"")</x:f>
      </x:c>
      <x:c r="M246" s="36"/>
      <x:c r="N246" s="37"/>
      <x:c r="O246" s="37"/>
      <x:c r="P246" s="30" t="n">
        <x:f>IF(ISNUMBER(J246),0,1)</x:f>
        <x:v>1</x:v>
      </x:c>
    </x:row>
    <x:row r="247" ht="54" customHeight="1">
      <x:c r="A247" s="30" t="str">
        <x:v>P14 / C5-A5</x:v>
      </x:c>
      <x:c r="B247" s="30" t="str">
        <x:v>C5</x:v>
      </x:c>
      <x:c r="C247" s="30" t="str">
        <x:v>P14</x:v>
      </x:c>
      <x:c r="D247" s="30" t="str">
        <x:v>C5-A5</x:v>
      </x:c>
      <x:c r="E247" s="30" t="str">
        <x:v>Daniel González Montoya</x:v>
      </x:c>
      <x:c r="F247" s="30" t="str">
        <x:v>Elaboración técnica</x:v>
      </x:c>
      <x:c r="G247" s="35" t="n">
        <x:v>0.25210084033613445</x:v>
      </x:c>
      <x:c r="H247" s="33" t="n">
        <x:f>INDEX(Actividades!$I$6:$I$104,MATCH(A247,Actividades!$A$6:$A$104,0))</x:f>
        <x:v>0.34</x:v>
      </x:c>
      <x:c r="I247" s="33" t="n">
        <x:f>G247*H247</x:f>
        <x:v>0.08571428571428572</x:v>
      </x:c>
      <x:c r="J247" s="35"/>
      <x:c r="K247" s="33" t="str">
        <x:f>IF(ISNUMBER(J247),G247*J247,"")</x:f>
      </x:c>
      <x:c r="L247" s="33" t="str">
        <x:f>IF(ISNUMBER(J247),I247*J247,"")</x:f>
      </x:c>
      <x:c r="M247" s="36"/>
      <x:c r="N247" s="37"/>
      <x:c r="O247" s="37"/>
      <x:c r="P247" s="30" t="n">
        <x:f>IF(ISNUMBER(J247),0,1)</x:f>
        <x:v>1</x:v>
      </x:c>
    </x:row>
    <x:row r="248" ht="54" customHeight="1">
      <x:c r="A248" s="30" t="str">
        <x:v>P14 / C5-A5</x:v>
      </x:c>
      <x:c r="B248" s="30" t="str">
        <x:v>C5</x:v>
      </x:c>
      <x:c r="C248" s="30" t="str">
        <x:v>P14</x:v>
      </x:c>
      <x:c r="D248" s="30" t="str">
        <x:v>C5-A5</x:v>
      </x:c>
      <x:c r="E248" s="30" t="str">
        <x:v>Sebastián Cartagena</x:v>
      </x:c>
      <x:c r="F248" s="30" t="str">
        <x:v>Apoyo técnico</x:v>
      </x:c>
      <x:c r="G248" s="35" t="n">
        <x:v>0.12605042016806722</x:v>
      </x:c>
      <x:c r="H248" s="33" t="n">
        <x:f>INDEX(Actividades!$I$6:$I$104,MATCH(A248,Actividades!$A$6:$A$104,0))</x:f>
        <x:v>0.34</x:v>
      </x:c>
      <x:c r="I248" s="33" t="n">
        <x:f>G248*H248</x:f>
        <x:v>0.04285714285714286</x:v>
      </x:c>
      <x:c r="J248" s="35"/>
      <x:c r="K248" s="33" t="str">
        <x:f>IF(ISNUMBER(J248),G248*J248,"")</x:f>
      </x:c>
      <x:c r="L248" s="33" t="str">
        <x:f>IF(ISNUMBER(J248),I248*J248,"")</x:f>
      </x:c>
      <x:c r="M248" s="36"/>
      <x:c r="N248" s="37"/>
      <x:c r="O248" s="37"/>
      <x:c r="P248" s="30" t="n">
        <x:f>IF(ISNUMBER(J248),0,1)</x:f>
        <x:v>1</x:v>
      </x:c>
    </x:row>
    <x:row r="249" ht="54" customHeight="1">
      <x:c r="A249" s="30" t="str">
        <x:v>P14 / C5-A5</x:v>
      </x:c>
      <x:c r="B249" s="30" t="str">
        <x:v>C5</x:v>
      </x:c>
      <x:c r="C249" s="30" t="str">
        <x:v>P14</x:v>
      </x:c>
      <x:c r="D249" s="30" t="str">
        <x:v>C5-A5</x:v>
      </x:c>
      <x:c r="E249" s="30" t="str">
        <x:v>Paola Andrea Ruiz Franco</x:v>
      </x:c>
      <x:c r="F249" s="30" t="str">
        <x:v>Coordinación técnica, integración y seguimiento</x:v>
      </x:c>
      <x:c r="G249" s="35" t="n">
        <x:v>0.11764705882352941</x:v>
      </x:c>
      <x:c r="H249" s="33" t="n">
        <x:f>INDEX(Actividades!$I$6:$I$104,MATCH(A249,Actividades!$A$6:$A$104,0))</x:f>
        <x:v>0.34</x:v>
      </x:c>
      <x:c r="I249" s="33" t="n">
        <x:f>G249*H249</x:f>
        <x:v>0.04</x:v>
      </x:c>
      <x:c r="J249" s="35"/>
      <x:c r="K249" s="33" t="str">
        <x:f>IF(ISNUMBER(J249),G249*J249,"")</x:f>
      </x:c>
      <x:c r="L249" s="33" t="str">
        <x:f>IF(ISNUMBER(J249),I249*J249,"")</x:f>
      </x:c>
      <x:c r="M249" s="36"/>
      <x:c r="N249" s="37"/>
      <x:c r="O249" s="37"/>
      <x:c r="P249" s="30" t="n">
        <x:f>IF(ISNUMBER(J249),0,1)</x:f>
        <x:v>1</x:v>
      </x:c>
    </x:row>
    <x:row r="250" ht="54" customHeight="1">
      <x:c r="A250" s="30" t="str">
        <x:v>P14 / C5-A6</x:v>
      </x:c>
      <x:c r="B250" s="30" t="str">
        <x:v>C5</x:v>
      </x:c>
      <x:c r="C250" s="30" t="str">
        <x:v>P14</x:v>
      </x:c>
      <x:c r="D250" s="30" t="str">
        <x:v>C5-A6</x:v>
      </x:c>
      <x:c r="E250" s="30" t="str">
        <x:v>Juliana Valencia</x:v>
      </x:c>
      <x:c r="F250" s="30" t="str">
        <x:v>Elaboración técnica</x:v>
      </x:c>
      <x:c r="G250" s="35" t="n">
        <x:v>0.4411764705882353</x:v>
      </x:c>
      <x:c r="H250" s="33" t="n">
        <x:f>INDEX(Actividades!$I$6:$I$104,MATCH(A250,Actividades!$A$6:$A$104,0))</x:f>
        <x:v>0.255</x:v>
      </x:c>
      <x:c r="I250" s="33" t="n">
        <x:f>G250*H250</x:f>
        <x:v>0.1125</x:v>
      </x:c>
      <x:c r="J250" s="35"/>
      <x:c r="K250" s="33" t="str">
        <x:f>IF(ISNUMBER(J250),G250*J250,"")</x:f>
      </x:c>
      <x:c r="L250" s="33" t="str">
        <x:f>IF(ISNUMBER(J250),I250*J250,"")</x:f>
      </x:c>
      <x:c r="M250" s="36"/>
      <x:c r="N250" s="37"/>
      <x:c r="O250" s="37"/>
      <x:c r="P250" s="30" t="n">
        <x:f>IF(ISNUMBER(J250),0,1)</x:f>
        <x:v>1</x:v>
      </x:c>
    </x:row>
    <x:row r="251" ht="54" customHeight="1">
      <x:c r="A251" s="30" t="str">
        <x:v>P14 / C5-A6</x:v>
      </x:c>
      <x:c r="B251" s="30" t="str">
        <x:v>C5</x:v>
      </x:c>
      <x:c r="C251" s="30" t="str">
        <x:v>P14</x:v>
      </x:c>
      <x:c r="D251" s="30" t="str">
        <x:v>C5-A6</x:v>
      </x:c>
      <x:c r="E251" s="30" t="str">
        <x:v>Daniel González Montoya</x:v>
      </x:c>
      <x:c r="F251" s="30" t="str">
        <x:v>Elaboración técnica</x:v>
      </x:c>
      <x:c r="G251" s="35" t="n">
        <x:v>0.4411764705882353</x:v>
      </x:c>
      <x:c r="H251" s="33" t="n">
        <x:f>INDEX(Actividades!$I$6:$I$104,MATCH(A251,Actividades!$A$6:$A$104,0))</x:f>
        <x:v>0.255</x:v>
      </x:c>
      <x:c r="I251" s="33" t="n">
        <x:f>G251*H251</x:f>
        <x:v>0.1125</x:v>
      </x:c>
      <x:c r="J251" s="35"/>
      <x:c r="K251" s="33" t="str">
        <x:f>IF(ISNUMBER(J251),G251*J251,"")</x:f>
      </x:c>
      <x:c r="L251" s="33" t="str">
        <x:f>IF(ISNUMBER(J251),I251*J251,"")</x:f>
      </x:c>
      <x:c r="M251" s="36"/>
      <x:c r="N251" s="37"/>
      <x:c r="O251" s="37"/>
      <x:c r="P251" s="30" t="n">
        <x:f>IF(ISNUMBER(J251),0,1)</x:f>
        <x:v>1</x:v>
      </x:c>
    </x:row>
    <x:row r="252" ht="54" customHeight="1">
      <x:c r="A252" s="30" t="str">
        <x:v>P14 / C5-A6</x:v>
      </x:c>
      <x:c r="B252" s="30" t="str">
        <x:v>C5</x:v>
      </x:c>
      <x:c r="C252" s="30" t="str">
        <x:v>P14</x:v>
      </x:c>
      <x:c r="D252" s="30" t="str">
        <x:v>C5-A6</x:v>
      </x:c>
      <x:c r="E252" s="30" t="str">
        <x:v>Paola Andrea Ruiz Franco</x:v>
      </x:c>
      <x:c r="F252" s="30" t="str">
        <x:v>Coordinación técnica, integración y seguimiento</x:v>
      </x:c>
      <x:c r="G252" s="35" t="n">
        <x:v>0.11764705882352941</x:v>
      </x:c>
      <x:c r="H252" s="33" t="n">
        <x:f>INDEX(Actividades!$I$6:$I$104,MATCH(A252,Actividades!$A$6:$A$104,0))</x:f>
        <x:v>0.255</x:v>
      </x:c>
      <x:c r="I252" s="33" t="n">
        <x:f>G252*H252</x:f>
        <x:v>0.03</x:v>
      </x:c>
      <x:c r="J252" s="35"/>
      <x:c r="K252" s="33" t="str">
        <x:f>IF(ISNUMBER(J252),G252*J252,"")</x:f>
      </x:c>
      <x:c r="L252" s="33" t="str">
        <x:f>IF(ISNUMBER(J252),I252*J252,"")</x:f>
      </x:c>
      <x:c r="M252" s="36"/>
      <x:c r="N252" s="37"/>
      <x:c r="O252" s="37"/>
      <x:c r="P252" s="30" t="n">
        <x:f>IF(ISNUMBER(J252),0,1)</x:f>
        <x:v>1</x:v>
      </x:c>
    </x:row>
    <x:row r="253" ht="54" customHeight="1">
      <x:c r="A253" s="30" t="str">
        <x:v>P14 / C5-A7</x:v>
      </x:c>
      <x:c r="B253" s="30" t="str">
        <x:v>C5</x:v>
      </x:c>
      <x:c r="C253" s="30" t="str">
        <x:v>P14</x:v>
      </x:c>
      <x:c r="D253" s="30" t="str">
        <x:v>C5-A7</x:v>
      </x:c>
      <x:c r="E253" s="30" t="str">
        <x:v>León Darío Orrego Espejo</x:v>
      </x:c>
      <x:c r="F253" s="30" t="str">
        <x:v>Elaboración técnica</x:v>
      </x:c>
      <x:c r="G253" s="35" t="n">
        <x:v>0.29411764705882354</x:v>
      </x:c>
      <x:c r="H253" s="33" t="n">
        <x:f>INDEX(Actividades!$I$6:$I$104,MATCH(A253,Actividades!$A$6:$A$104,0))</x:f>
        <x:v>0.255</x:v>
      </x:c>
      <x:c r="I253" s="33" t="n">
        <x:f>G253*H253</x:f>
        <x:v>0.075</x:v>
      </x:c>
      <x:c r="J253" s="35"/>
      <x:c r="K253" s="33" t="str">
        <x:f>IF(ISNUMBER(J253),G253*J253,"")</x:f>
      </x:c>
      <x:c r="L253" s="33" t="str">
        <x:f>IF(ISNUMBER(J253),I253*J253,"")</x:f>
      </x:c>
      <x:c r="M253" s="36"/>
      <x:c r="N253" s="37"/>
      <x:c r="O253" s="37"/>
      <x:c r="P253" s="30" t="n">
        <x:f>IF(ISNUMBER(J253),0,1)</x:f>
        <x:v>1</x:v>
      </x:c>
    </x:row>
    <x:row r="254" ht="54" customHeight="1">
      <x:c r="A254" s="30" t="str">
        <x:v>P14 / C5-A7</x:v>
      </x:c>
      <x:c r="B254" s="30" t="str">
        <x:v>C5</x:v>
      </x:c>
      <x:c r="C254" s="30" t="str">
        <x:v>P14</x:v>
      </x:c>
      <x:c r="D254" s="30" t="str">
        <x:v>C5-A7</x:v>
      </x:c>
      <x:c r="E254" s="30" t="str">
        <x:v>Sebastián Cartagena</x:v>
      </x:c>
      <x:c r="F254" s="30" t="str">
        <x:v>Elaboración técnica</x:v>
      </x:c>
      <x:c r="G254" s="35" t="n">
        <x:v>0.29411764705882354</x:v>
      </x:c>
      <x:c r="H254" s="33" t="n">
        <x:f>INDEX(Actividades!$I$6:$I$104,MATCH(A254,Actividades!$A$6:$A$104,0))</x:f>
        <x:v>0.255</x:v>
      </x:c>
      <x:c r="I254" s="33" t="n">
        <x:f>G254*H254</x:f>
        <x:v>0.075</x:v>
      </x:c>
      <x:c r="J254" s="35"/>
      <x:c r="K254" s="33" t="str">
        <x:f>IF(ISNUMBER(J254),G254*J254,"")</x:f>
      </x:c>
      <x:c r="L254" s="33" t="str">
        <x:f>IF(ISNUMBER(J254),I254*J254,"")</x:f>
      </x:c>
      <x:c r="M254" s="36"/>
      <x:c r="N254" s="37"/>
      <x:c r="O254" s="37"/>
      <x:c r="P254" s="30" t="n">
        <x:f>IF(ISNUMBER(J254),0,1)</x:f>
        <x:v>1</x:v>
      </x:c>
    </x:row>
    <x:row r="255" ht="54" customHeight="1">
      <x:c r="A255" s="30" t="str">
        <x:v>P14 / C5-A7</x:v>
      </x:c>
      <x:c r="B255" s="30" t="str">
        <x:v>C5</x:v>
      </x:c>
      <x:c r="C255" s="30" t="str">
        <x:v>P14</x:v>
      </x:c>
      <x:c r="D255" s="30" t="str">
        <x:v>C5-A7</x:v>
      </x:c>
      <x:c r="E255" s="30" t="str">
        <x:v>Luis Eduardo Vahos Hernández</x:v>
      </x:c>
      <x:c r="F255" s="30" t="str">
        <x:v>Apoyo técnico</x:v>
      </x:c>
      <x:c r="G255" s="35" t="n">
        <x:v>0.14705882352941177</x:v>
      </x:c>
      <x:c r="H255" s="33" t="n">
        <x:f>INDEX(Actividades!$I$6:$I$104,MATCH(A255,Actividades!$A$6:$A$104,0))</x:f>
        <x:v>0.255</x:v>
      </x:c>
      <x:c r="I255" s="33" t="n">
        <x:f>G255*H255</x:f>
        <x:v>0.0375</x:v>
      </x:c>
      <x:c r="J255" s="35"/>
      <x:c r="K255" s="33" t="str">
        <x:f>IF(ISNUMBER(J255),G255*J255,"")</x:f>
      </x:c>
      <x:c r="L255" s="33" t="str">
        <x:f>IF(ISNUMBER(J255),I255*J255,"")</x:f>
      </x:c>
      <x:c r="M255" s="36"/>
      <x:c r="N255" s="37"/>
      <x:c r="O255" s="37"/>
      <x:c r="P255" s="30" t="n">
        <x:f>IF(ISNUMBER(J255),0,1)</x:f>
        <x:v>1</x:v>
      </x:c>
    </x:row>
    <x:row r="256" ht="54" customHeight="1">
      <x:c r="A256" s="30" t="str">
        <x:v>P14 / C5-A7</x:v>
      </x:c>
      <x:c r="B256" s="30" t="str">
        <x:v>C5</x:v>
      </x:c>
      <x:c r="C256" s="30" t="str">
        <x:v>P14</x:v>
      </x:c>
      <x:c r="D256" s="30" t="str">
        <x:v>C5-A7</x:v>
      </x:c>
      <x:c r="E256" s="30" t="str">
        <x:v>Daniel González Montoya</x:v>
      </x:c>
      <x:c r="F256" s="30" t="str">
        <x:v>Apoyo técnico</x:v>
      </x:c>
      <x:c r="G256" s="35" t="n">
        <x:v>0.14705882352941177</x:v>
      </x:c>
      <x:c r="H256" s="33" t="n">
        <x:f>INDEX(Actividades!$I$6:$I$104,MATCH(A256,Actividades!$A$6:$A$104,0))</x:f>
        <x:v>0.255</x:v>
      </x:c>
      <x:c r="I256" s="33" t="n">
        <x:f>G256*H256</x:f>
        <x:v>0.0375</x:v>
      </x:c>
      <x:c r="J256" s="35"/>
      <x:c r="K256" s="33" t="str">
        <x:f>IF(ISNUMBER(J256),G256*J256,"")</x:f>
      </x:c>
      <x:c r="L256" s="33" t="str">
        <x:f>IF(ISNUMBER(J256),I256*J256,"")</x:f>
      </x:c>
      <x:c r="M256" s="36"/>
      <x:c r="N256" s="37"/>
      <x:c r="O256" s="37"/>
      <x:c r="P256" s="30" t="n">
        <x:f>IF(ISNUMBER(J256),0,1)</x:f>
        <x:v>1</x:v>
      </x:c>
    </x:row>
    <x:row r="257" ht="54" customHeight="1">
      <x:c r="A257" s="30" t="str">
        <x:v>P14 / C5-A7</x:v>
      </x:c>
      <x:c r="B257" s="30" t="str">
        <x:v>C5</x:v>
      </x:c>
      <x:c r="C257" s="30" t="str">
        <x:v>P14</x:v>
      </x:c>
      <x:c r="D257" s="30" t="str">
        <x:v>C5-A7</x:v>
      </x:c>
      <x:c r="E257" s="30" t="str">
        <x:v>Paola Andrea Ruiz Franco</x:v>
      </x:c>
      <x:c r="F257" s="30" t="str">
        <x:v>Coordinación técnica, integración y seguimiento</x:v>
      </x:c>
      <x:c r="G257" s="35" t="n">
        <x:v>0.11764705882352941</x:v>
      </x:c>
      <x:c r="H257" s="33" t="n">
        <x:f>INDEX(Actividades!$I$6:$I$104,MATCH(A257,Actividades!$A$6:$A$104,0))</x:f>
        <x:v>0.255</x:v>
      </x:c>
      <x:c r="I257" s="33" t="n">
        <x:f>G257*H257</x:f>
        <x:v>0.03</x:v>
      </x:c>
      <x:c r="J257" s="35"/>
      <x:c r="K257" s="33" t="str">
        <x:f>IF(ISNUMBER(J257),G257*J257,"")</x:f>
      </x:c>
      <x:c r="L257" s="33" t="str">
        <x:f>IF(ISNUMBER(J257),I257*J257,"")</x:f>
      </x:c>
      <x:c r="M257" s="36"/>
      <x:c r="N257" s="37"/>
      <x:c r="O257" s="37"/>
      <x:c r="P257" s="30" t="n">
        <x:f>IF(ISNUMBER(J257),0,1)</x:f>
        <x:v>1</x:v>
      </x:c>
    </x:row>
    <x:row r="258" ht="54" customHeight="1">
      <x:c r="A258" s="30" t="str">
        <x:v>P14 / R01</x:v>
      </x:c>
      <x:c r="B258" s="30" t="str">
        <x:v>C5</x:v>
      </x:c>
      <x:c r="C258" s="30" t="str">
        <x:v>P14</x:v>
      </x:c>
      <x:c r="D258" s="30" t="str">
        <x:v>R01</x:v>
      </x:c>
      <x:c r="E258" s="30" t="str">
        <x:v>Guillermo Penagos</x:v>
      </x:c>
      <x:c r="F258" s="30" t="str">
        <x:v>Revisión técnica y cierre para envío a Secretaría</x:v>
      </x:c>
      <x:c r="G258" s="35" t="n">
        <x:v>0.5</x:v>
      </x:c>
      <x:c r="H258" s="33" t="n">
        <x:f>INDEX(Actividades!$I$6:$I$104,MATCH(A258,Actividades!$A$6:$A$104,0))</x:f>
        <x:v>0.1</x:v>
      </x:c>
      <x:c r="I258" s="33" t="n">
        <x:f>G258*H258</x:f>
        <x:v>0.05</x:v>
      </x:c>
      <x:c r="J258" s="35"/>
      <x:c r="K258" s="33" t="str">
        <x:f>IF(ISNUMBER(J258),G258*J258,"")</x:f>
      </x:c>
      <x:c r="L258" s="33" t="str">
        <x:f>IF(ISNUMBER(J258),I258*J258,"")</x:f>
      </x:c>
      <x:c r="M258" s="36"/>
      <x:c r="N258" s="37"/>
      <x:c r="O258" s="37"/>
      <x:c r="P258" s="30" t="n">
        <x:f>IF(ISNUMBER(J258),0,1)</x:f>
        <x:v>1</x:v>
      </x:c>
    </x:row>
    <x:row r="259" ht="54" customHeight="1">
      <x:c r="A259" s="30" t="str">
        <x:v>P14 / R01</x:v>
      </x:c>
      <x:c r="B259" s="30" t="str">
        <x:v>C5</x:v>
      </x:c>
      <x:c r="C259" s="30" t="str">
        <x:v>P14</x:v>
      </x:c>
      <x:c r="D259" s="30" t="str">
        <x:v>R01</x:v>
      </x:c>
      <x:c r="E259" s="30" t="str">
        <x:v>María José Suárez</x:v>
      </x:c>
      <x:c r="F259" s="30" t="str">
        <x:v>Revisión integral y cierre para envío a Secretaría</x:v>
      </x:c>
      <x:c r="G259" s="35" t="n">
        <x:v>0.5</x:v>
      </x:c>
      <x:c r="H259" s="33" t="n">
        <x:f>INDEX(Actividades!$I$6:$I$104,MATCH(A259,Actividades!$A$6:$A$104,0))</x:f>
        <x:v>0.1</x:v>
      </x:c>
      <x:c r="I259" s="33" t="n">
        <x:f>G259*H259</x:f>
        <x:v>0.05</x:v>
      </x:c>
      <x:c r="J259" s="35"/>
      <x:c r="K259" s="33" t="str">
        <x:f>IF(ISNUMBER(J259),G259*J259,"")</x:f>
      </x:c>
      <x:c r="L259" s="33" t="str">
        <x:f>IF(ISNUMBER(J259),I259*J259,"")</x:f>
      </x:c>
      <x:c r="M259" s="36"/>
      <x:c r="N259" s="37"/>
      <x:c r="O259" s="37"/>
      <x:c r="P259" s="30" t="n">
        <x:f>IF(ISNUMBER(J259),0,1)</x:f>
        <x:v>1</x:v>
      </x:c>
    </x:row>
    <x:row r="260" ht="54" customHeight="1">
      <x:c r="A260" s="30" t="str">
        <x:v>P14 / R02</x:v>
      </x:c>
      <x:c r="B260" s="30" t="str">
        <x:v>C5</x:v>
      </x:c>
      <x:c r="C260" s="30" t="str">
        <x:v>P14</x:v>
      </x:c>
      <x:c r="D260" s="30" t="str">
        <x:v>R02</x:v>
      </x:c>
      <x:c r="E260" s="30" t="str">
        <x:v>Juana — Secretaría de Medio Ambiente</x:v>
      </x:c>
      <x:c r="F260" s="30" t="str">
        <x:v>Validación y revisión final institucional</x:v>
      </x:c>
      <x:c r="G260" s="35" t="n">
        <x:v>1</x:v>
      </x:c>
      <x:c r="H260" s="33" t="n">
        <x:f>INDEX(Actividades!$I$6:$I$104,MATCH(A260,Actividades!$A$6:$A$104,0))</x:f>
        <x:v>0.05</x:v>
      </x:c>
      <x:c r="I260" s="33" t="n">
        <x:f>G260*H260</x:f>
        <x:v>0.05</x:v>
      </x:c>
      <x:c r="J260" s="35"/>
      <x:c r="K260" s="33" t="str">
        <x:f>IF(ISNUMBER(J260),G260*J260,"")</x:f>
      </x:c>
      <x:c r="L260" s="33" t="str">
        <x:f>IF(ISNUMBER(J260),I260*J260,"")</x:f>
      </x:c>
      <x:c r="M260" s="36"/>
      <x:c r="N260" s="37"/>
      <x:c r="O260" s="37"/>
      <x:c r="P260" s="30" t="n">
        <x:f>IF(ISNUMBER(J260),0,1)</x:f>
        <x:v>1</x:v>
      </x:c>
    </x:row>
    <x:row r="261" ht="54" customHeight="1">
      <x:c r="A261" s="30" t="str">
        <x:v>P15 / C6-A1</x:v>
      </x:c>
      <x:c r="B261" s="30" t="str">
        <x:v>C6</x:v>
      </x:c>
      <x:c r="C261" s="30" t="str">
        <x:v>P15</x:v>
      </x:c>
      <x:c r="D261" s="30" t="str">
        <x:v>C6-A1</x:v>
      </x:c>
      <x:c r="E261" s="30" t="str">
        <x:v>Sebastián Cartagena</x:v>
      </x:c>
      <x:c r="F261" s="30" t="str">
        <x:v>Elaboración técnica</x:v>
      </x:c>
      <x:c r="G261" s="35" t="n">
        <x:v>0.29411764705882354</x:v>
      </x:c>
      <x:c r="H261" s="33" t="n">
        <x:f>INDEX(Actividades!$I$6:$I$104,MATCH(A261,Actividades!$A$6:$A$104,0))</x:f>
        <x:v>0.3825</x:v>
      </x:c>
      <x:c r="I261" s="33" t="n">
        <x:f>G261*H261</x:f>
        <x:v>0.1125</x:v>
      </x:c>
      <x:c r="J261" s="35"/>
      <x:c r="K261" s="33" t="str">
        <x:f>IF(ISNUMBER(J261),G261*J261,"")</x:f>
      </x:c>
      <x:c r="L261" s="33" t="str">
        <x:f>IF(ISNUMBER(J261),I261*J261,"")</x:f>
      </x:c>
      <x:c r="M261" s="36"/>
      <x:c r="N261" s="37"/>
      <x:c r="O261" s="37"/>
      <x:c r="P261" s="30" t="n">
        <x:f>IF(ISNUMBER(J261),0,1)</x:f>
        <x:v>1</x:v>
      </x:c>
    </x:row>
    <x:row r="262" ht="54" customHeight="1">
      <x:c r="A262" s="30" t="str">
        <x:v>P15 / C6-A1</x:v>
      </x:c>
      <x:c r="B262" s="30" t="str">
        <x:v>C6</x:v>
      </x:c>
      <x:c r="C262" s="30" t="str">
        <x:v>P15</x:v>
      </x:c>
      <x:c r="D262" s="30" t="str">
        <x:v>C6-A1</x:v>
      </x:c>
      <x:c r="E262" s="30" t="str">
        <x:v>Liliana Restrepo</x:v>
      </x:c>
      <x:c r="F262" s="30" t="str">
        <x:v>Elaboración técnica</x:v>
      </x:c>
      <x:c r="G262" s="35" t="n">
        <x:v>0.29411764705882354</x:v>
      </x:c>
      <x:c r="H262" s="33" t="n">
        <x:f>INDEX(Actividades!$I$6:$I$104,MATCH(A262,Actividades!$A$6:$A$104,0))</x:f>
        <x:v>0.3825</x:v>
      </x:c>
      <x:c r="I262" s="33" t="n">
        <x:f>G262*H262</x:f>
        <x:v>0.1125</x:v>
      </x:c>
      <x:c r="J262" s="35"/>
      <x:c r="K262" s="33" t="str">
        <x:f>IF(ISNUMBER(J262),G262*J262,"")</x:f>
      </x:c>
      <x:c r="L262" s="33" t="str">
        <x:f>IF(ISNUMBER(J262),I262*J262,"")</x:f>
      </x:c>
      <x:c r="M262" s="36"/>
      <x:c r="N262" s="37"/>
      <x:c r="O262" s="37"/>
      <x:c r="P262" s="30" t="n">
        <x:f>IF(ISNUMBER(J262),0,1)</x:f>
        <x:v>1</x:v>
      </x:c>
    </x:row>
    <x:row r="263" ht="54" customHeight="1">
      <x:c r="A263" s="30" t="str">
        <x:v>P15 / C6-A1</x:v>
      </x:c>
      <x:c r="B263" s="30" t="str">
        <x:v>C6</x:v>
      </x:c>
      <x:c r="C263" s="30" t="str">
        <x:v>P15</x:v>
      </x:c>
      <x:c r="D263" s="30" t="str">
        <x:v>C6-A1</x:v>
      </x:c>
      <x:c r="E263" s="30" t="str">
        <x:v>Curaduría Museo</x:v>
      </x:c>
      <x:c r="F263" s="30" t="str">
        <x:v>Corresponsable de apropiación social y divulgación</x:v>
      </x:c>
      <x:c r="G263" s="35" t="n">
        <x:v>0.29411764705882354</x:v>
      </x:c>
      <x:c r="H263" s="33" t="n">
        <x:f>INDEX(Actividades!$I$6:$I$104,MATCH(A263,Actividades!$A$6:$A$104,0))</x:f>
        <x:v>0.3825</x:v>
      </x:c>
      <x:c r="I263" s="33" t="n">
        <x:f>G263*H263</x:f>
        <x:v>0.1125</x:v>
      </x:c>
      <x:c r="J263" s="35"/>
      <x:c r="K263" s="33" t="str">
        <x:f>IF(ISNUMBER(J263),G263*J263,"")</x:f>
      </x:c>
      <x:c r="L263" s="33" t="str">
        <x:f>IF(ISNUMBER(J263),I263*J263,"")</x:f>
      </x:c>
      <x:c r="M263" s="36"/>
      <x:c r="N263" s="37"/>
      <x:c r="O263" s="37"/>
      <x:c r="P263" s="30" t="n">
        <x:f>IF(ISNUMBER(J263),0,1)</x:f>
        <x:v>1</x:v>
      </x:c>
    </x:row>
    <x:row r="264" ht="54" customHeight="1">
      <x:c r="A264" s="30" t="str">
        <x:v>P15 / C6-A1</x:v>
      </x:c>
      <x:c r="B264" s="30" t="str">
        <x:v>C6</x:v>
      </x:c>
      <x:c r="C264" s="30" t="str">
        <x:v>P15</x:v>
      </x:c>
      <x:c r="D264" s="30" t="str">
        <x:v>C6-A1</x:v>
      </x:c>
      <x:c r="E264" s="30" t="str">
        <x:v>Paola Andrea Ruiz Franco</x:v>
      </x:c>
      <x:c r="F264" s="30" t="str">
        <x:v>Coordinación técnica, integración y seguimiento</x:v>
      </x:c>
      <x:c r="G264" s="35" t="n">
        <x:v>0.11764705882352941</x:v>
      </x:c>
      <x:c r="H264" s="33" t="n">
        <x:f>INDEX(Actividades!$I$6:$I$104,MATCH(A264,Actividades!$A$6:$A$104,0))</x:f>
        <x:v>0.3825</x:v>
      </x:c>
      <x:c r="I264" s="33" t="n">
        <x:f>G264*H264</x:f>
        <x:v>0.045</x:v>
      </x:c>
      <x:c r="J264" s="35"/>
      <x:c r="K264" s="33" t="str">
        <x:f>IF(ISNUMBER(J264),G264*J264,"")</x:f>
      </x:c>
      <x:c r="L264" s="33" t="str">
        <x:f>IF(ISNUMBER(J264),I264*J264,"")</x:f>
      </x:c>
      <x:c r="M264" s="36"/>
      <x:c r="N264" s="37"/>
      <x:c r="O264" s="37"/>
      <x:c r="P264" s="30" t="n">
        <x:f>IF(ISNUMBER(J264),0,1)</x:f>
        <x:v>1</x:v>
      </x:c>
    </x:row>
    <x:row r="265" ht="54" customHeight="1">
      <x:c r="A265" s="30" t="str">
        <x:v>P15 / C6-A2</x:v>
      </x:c>
      <x:c r="B265" s="30" t="str">
        <x:v>C6</x:v>
      </x:c>
      <x:c r="C265" s="30" t="str">
        <x:v>P15</x:v>
      </x:c>
      <x:c r="D265" s="30" t="str">
        <x:v>C6-A2</x:v>
      </x:c>
      <x:c r="E265" s="30" t="str">
        <x:v>Sebastián Cartagena</x:v>
      </x:c>
      <x:c r="F265" s="30" t="str">
        <x:v>Apoyo técnico</x:v>
      </x:c>
      <x:c r="G265" s="35" t="n">
        <x:v>0.8823529411764706</x:v>
      </x:c>
      <x:c r="H265" s="33" t="n">
        <x:f>INDEX(Actividades!$I$6:$I$104,MATCH(A265,Actividades!$A$6:$A$104,0))</x:f>
        <x:v>0.2125</x:v>
      </x:c>
      <x:c r="I265" s="33" t="n">
        <x:f>G265*H265</x:f>
        <x:v>0.1875</x:v>
      </x:c>
      <x:c r="J265" s="35"/>
      <x:c r="K265" s="33" t="str">
        <x:f>IF(ISNUMBER(J265),G265*J265,"")</x:f>
      </x:c>
      <x:c r="L265" s="33" t="str">
        <x:f>IF(ISNUMBER(J265),I265*J265,"")</x:f>
      </x:c>
      <x:c r="M265" s="36"/>
      <x:c r="N265" s="37"/>
      <x:c r="O265" s="37"/>
      <x:c r="P265" s="30" t="n">
        <x:f>IF(ISNUMBER(J265),0,1)</x:f>
        <x:v>1</x:v>
      </x:c>
    </x:row>
    <x:row r="266" ht="54" customHeight="1">
      <x:c r="A266" s="30" t="str">
        <x:v>P15 / C6-A2</x:v>
      </x:c>
      <x:c r="B266" s="30" t="str">
        <x:v>C6</x:v>
      </x:c>
      <x:c r="C266" s="30" t="str">
        <x:v>P15</x:v>
      </x:c>
      <x:c r="D266" s="30" t="str">
        <x:v>C6-A2</x:v>
      </x:c>
      <x:c r="E266" s="30" t="str">
        <x:v>Paola Andrea Ruiz Franco</x:v>
      </x:c>
      <x:c r="F266" s="30" t="str">
        <x:v>Coordinación técnica, integración y seguimiento</x:v>
      </x:c>
      <x:c r="G266" s="35" t="n">
        <x:v>0.11764705882352941</x:v>
      </x:c>
      <x:c r="H266" s="33" t="n">
        <x:f>INDEX(Actividades!$I$6:$I$104,MATCH(A266,Actividades!$A$6:$A$104,0))</x:f>
        <x:v>0.2125</x:v>
      </x:c>
      <x:c r="I266" s="33" t="n">
        <x:f>G266*H266</x:f>
        <x:v>0.024999999999999998</x:v>
      </x:c>
      <x:c r="J266" s="35"/>
      <x:c r="K266" s="33" t="str">
        <x:f>IF(ISNUMBER(J266),G266*J266,"")</x:f>
      </x:c>
      <x:c r="L266" s="33" t="str">
        <x:f>IF(ISNUMBER(J266),I266*J266,"")</x:f>
      </x:c>
      <x:c r="M266" s="36"/>
      <x:c r="N266" s="37"/>
      <x:c r="O266" s="37"/>
      <x:c r="P266" s="30" t="n">
        <x:f>IF(ISNUMBER(J266),0,1)</x:f>
        <x:v>1</x:v>
      </x:c>
    </x:row>
    <x:row r="267" ht="54" customHeight="1">
      <x:c r="A267" s="30" t="str">
        <x:v>P15 / C6-A3</x:v>
      </x:c>
      <x:c r="B267" s="30" t="str">
        <x:v>C6</x:v>
      </x:c>
      <x:c r="C267" s="30" t="str">
        <x:v>P15</x:v>
      </x:c>
      <x:c r="D267" s="30" t="str">
        <x:v>C6-A3</x:v>
      </x:c>
      <x:c r="E267" s="30" t="str">
        <x:v>Liliana Restrepo</x:v>
      </x:c>
      <x:c r="F267" s="30" t="str">
        <x:v>Elaboración técnica</x:v>
      </x:c>
      <x:c r="G267" s="35" t="n">
        <x:v>0.35294117647058826</x:v>
      </x:c>
      <x:c r="H267" s="33" t="n">
        <x:f>INDEX(Actividades!$I$6:$I$104,MATCH(A267,Actividades!$A$6:$A$104,0))</x:f>
        <x:v>0.255</x:v>
      </x:c>
      <x:c r="I267" s="33" t="n">
        <x:f>G267*H267</x:f>
        <x:v>0.09000000000000001</x:v>
      </x:c>
      <x:c r="J267" s="35"/>
      <x:c r="K267" s="33" t="str">
        <x:f>IF(ISNUMBER(J267),G267*J267,"")</x:f>
      </x:c>
      <x:c r="L267" s="33" t="str">
        <x:f>IF(ISNUMBER(J267),I267*J267,"")</x:f>
      </x:c>
      <x:c r="M267" s="36"/>
      <x:c r="N267" s="37"/>
      <x:c r="O267" s="37"/>
      <x:c r="P267" s="30" t="n">
        <x:f>IF(ISNUMBER(J267),0,1)</x:f>
        <x:v>1</x:v>
      </x:c>
    </x:row>
    <x:row r="268" ht="54" customHeight="1">
      <x:c r="A268" s="30" t="str">
        <x:v>P15 / C6-A3</x:v>
      </x:c>
      <x:c r="B268" s="30" t="str">
        <x:v>C6</x:v>
      </x:c>
      <x:c r="C268" s="30" t="str">
        <x:v>P15</x:v>
      </x:c>
      <x:c r="D268" s="30" t="str">
        <x:v>C6-A3</x:v>
      </x:c>
      <x:c r="E268" s="30" t="str">
        <x:v>Curaduría Museo</x:v>
      </x:c>
      <x:c r="F268" s="30" t="str">
        <x:v>Corresponsable de apropiación social y divulgación</x:v>
      </x:c>
      <x:c r="G268" s="35" t="n">
        <x:v>0.35294117647058826</x:v>
      </x:c>
      <x:c r="H268" s="33" t="n">
        <x:f>INDEX(Actividades!$I$6:$I$104,MATCH(A268,Actividades!$A$6:$A$104,0))</x:f>
        <x:v>0.255</x:v>
      </x:c>
      <x:c r="I268" s="33" t="n">
        <x:f>G268*H268</x:f>
        <x:v>0.09000000000000001</x:v>
      </x:c>
      <x:c r="J268" s="35"/>
      <x:c r="K268" s="33" t="str">
        <x:f>IF(ISNUMBER(J268),G268*J268,"")</x:f>
      </x:c>
      <x:c r="L268" s="33" t="str">
        <x:f>IF(ISNUMBER(J268),I268*J268,"")</x:f>
      </x:c>
      <x:c r="M268" s="36"/>
      <x:c r="N268" s="37"/>
      <x:c r="O268" s="37"/>
      <x:c r="P268" s="30" t="n">
        <x:f>IF(ISNUMBER(J268),0,1)</x:f>
        <x:v>1</x:v>
      </x:c>
    </x:row>
    <x:row r="269" ht="54" customHeight="1">
      <x:c r="A269" s="30" t="str">
        <x:v>P15 / C6-A3</x:v>
      </x:c>
      <x:c r="B269" s="30" t="str">
        <x:v>C6</x:v>
      </x:c>
      <x:c r="C269" s="30" t="str">
        <x:v>P15</x:v>
      </x:c>
      <x:c r="D269" s="30" t="str">
        <x:v>C6-A3</x:v>
      </x:c>
      <x:c r="E269" s="30" t="str">
        <x:v>Sebastián Cartagena</x:v>
      </x:c>
      <x:c r="F269" s="30" t="str">
        <x:v>Apoyo técnico</x:v>
      </x:c>
      <x:c r="G269" s="35" t="n">
        <x:v>0.17647058823529413</x:v>
      </x:c>
      <x:c r="H269" s="33" t="n">
        <x:f>INDEX(Actividades!$I$6:$I$104,MATCH(A269,Actividades!$A$6:$A$104,0))</x:f>
        <x:v>0.255</x:v>
      </x:c>
      <x:c r="I269" s="33" t="n">
        <x:f>G269*H269</x:f>
        <x:v>0.045000000000000005</x:v>
      </x:c>
      <x:c r="J269" s="35"/>
      <x:c r="K269" s="33" t="str">
        <x:f>IF(ISNUMBER(J269),G269*J269,"")</x:f>
      </x:c>
      <x:c r="L269" s="33" t="str">
        <x:f>IF(ISNUMBER(J269),I269*J269,"")</x:f>
      </x:c>
      <x:c r="M269" s="36"/>
      <x:c r="N269" s="37"/>
      <x:c r="O269" s="37"/>
      <x:c r="P269" s="30" t="n">
        <x:f>IF(ISNUMBER(J269),0,1)</x:f>
        <x:v>1</x:v>
      </x:c>
    </x:row>
    <x:row r="270" ht="54" customHeight="1">
      <x:c r="A270" s="30" t="str">
        <x:v>P15 / C6-A3</x:v>
      </x:c>
      <x:c r="B270" s="30" t="str">
        <x:v>C6</x:v>
      </x:c>
      <x:c r="C270" s="30" t="str">
        <x:v>P15</x:v>
      </x:c>
      <x:c r="D270" s="30" t="str">
        <x:v>C6-A3</x:v>
      </x:c>
      <x:c r="E270" s="30" t="str">
        <x:v>Paola Andrea Ruiz Franco</x:v>
      </x:c>
      <x:c r="F270" s="30" t="str">
        <x:v>Coordinación técnica, integración y seguimiento</x:v>
      </x:c>
      <x:c r="G270" s="35" t="n">
        <x:v>0.11764705882352941</x:v>
      </x:c>
      <x:c r="H270" s="33" t="n">
        <x:f>INDEX(Actividades!$I$6:$I$104,MATCH(A270,Actividades!$A$6:$A$104,0))</x:f>
        <x:v>0.255</x:v>
      </x:c>
      <x:c r="I270" s="33" t="n">
        <x:f>G270*H270</x:f>
        <x:v>0.03</x:v>
      </x:c>
      <x:c r="J270" s="35"/>
      <x:c r="K270" s="33" t="str">
        <x:f>IF(ISNUMBER(J270),G270*J270,"")</x:f>
      </x:c>
      <x:c r="L270" s="33" t="str">
        <x:f>IF(ISNUMBER(J270),I270*J270,"")</x:f>
      </x:c>
      <x:c r="M270" s="36"/>
      <x:c r="N270" s="37"/>
      <x:c r="O270" s="37"/>
      <x:c r="P270" s="30" t="n">
        <x:f>IF(ISNUMBER(J270),0,1)</x:f>
        <x:v>1</x:v>
      </x:c>
    </x:row>
    <x:row r="271" ht="54" customHeight="1">
      <x:c r="A271" s="30" t="str">
        <x:v>P15 / R01</x:v>
      </x:c>
      <x:c r="B271" s="30" t="str">
        <x:v>C6</x:v>
      </x:c>
      <x:c r="C271" s="30" t="str">
        <x:v>P15</x:v>
      </x:c>
      <x:c r="D271" s="30" t="str">
        <x:v>R01</x:v>
      </x:c>
      <x:c r="E271" s="30" t="str">
        <x:v>Guillermo Penagos</x:v>
      </x:c>
      <x:c r="F271" s="30" t="str">
        <x:v>Revisión técnica y cierre para envío a Secretaría</x:v>
      </x:c>
      <x:c r="G271" s="35" t="n">
        <x:v>0.5</x:v>
      </x:c>
      <x:c r="H271" s="33" t="n">
        <x:f>INDEX(Actividades!$I$6:$I$104,MATCH(A271,Actividades!$A$6:$A$104,0))</x:f>
        <x:v>0.1</x:v>
      </x:c>
      <x:c r="I271" s="33" t="n">
        <x:f>G271*H271</x:f>
        <x:v>0.05</x:v>
      </x:c>
      <x:c r="J271" s="35"/>
      <x:c r="K271" s="33" t="str">
        <x:f>IF(ISNUMBER(J271),G271*J271,"")</x:f>
      </x:c>
      <x:c r="L271" s="33" t="str">
        <x:f>IF(ISNUMBER(J271),I271*J271,"")</x:f>
      </x:c>
      <x:c r="M271" s="36"/>
      <x:c r="N271" s="37"/>
      <x:c r="O271" s="37"/>
      <x:c r="P271" s="30" t="n">
        <x:f>IF(ISNUMBER(J271),0,1)</x:f>
        <x:v>1</x:v>
      </x:c>
    </x:row>
    <x:row r="272" ht="54" customHeight="1">
      <x:c r="A272" s="30" t="str">
        <x:v>P15 / R01</x:v>
      </x:c>
      <x:c r="B272" s="30" t="str">
        <x:v>C6</x:v>
      </x:c>
      <x:c r="C272" s="30" t="str">
        <x:v>P15</x:v>
      </x:c>
      <x:c r="D272" s="30" t="str">
        <x:v>R01</x:v>
      </x:c>
      <x:c r="E272" s="30" t="str">
        <x:v>María José Suárez</x:v>
      </x:c>
      <x:c r="F272" s="30" t="str">
        <x:v>Revisión integral y cierre para envío a Secretaría</x:v>
      </x:c>
      <x:c r="G272" s="35" t="n">
        <x:v>0.5</x:v>
      </x:c>
      <x:c r="H272" s="33" t="n">
        <x:f>INDEX(Actividades!$I$6:$I$104,MATCH(A272,Actividades!$A$6:$A$104,0))</x:f>
        <x:v>0.1</x:v>
      </x:c>
      <x:c r="I272" s="33" t="n">
        <x:f>G272*H272</x:f>
        <x:v>0.05</x:v>
      </x:c>
      <x:c r="J272" s="35"/>
      <x:c r="K272" s="33" t="str">
        <x:f>IF(ISNUMBER(J272),G272*J272,"")</x:f>
      </x:c>
      <x:c r="L272" s="33" t="str">
        <x:f>IF(ISNUMBER(J272),I272*J272,"")</x:f>
      </x:c>
      <x:c r="M272" s="36"/>
      <x:c r="N272" s="37"/>
      <x:c r="O272" s="37"/>
      <x:c r="P272" s="30" t="n">
        <x:f>IF(ISNUMBER(J272),0,1)</x:f>
        <x:v>1</x:v>
      </x:c>
    </x:row>
    <x:row r="273" ht="54" customHeight="1">
      <x:c r="A273" s="30" t="str">
        <x:v>P15 / R02</x:v>
      </x:c>
      <x:c r="B273" s="30" t="str">
        <x:v>C6</x:v>
      </x:c>
      <x:c r="C273" s="30" t="str">
        <x:v>P15</x:v>
      </x:c>
      <x:c r="D273" s="30" t="str">
        <x:v>R02</x:v>
      </x:c>
      <x:c r="E273" s="30" t="str">
        <x:v>Juana — Secretaría de Medio Ambiente</x:v>
      </x:c>
      <x:c r="F273" s="30" t="str">
        <x:v>Validación y revisión final institucional</x:v>
      </x:c>
      <x:c r="G273" s="35" t="n">
        <x:v>1</x:v>
      </x:c>
      <x:c r="H273" s="33" t="n">
        <x:f>INDEX(Actividades!$I$6:$I$104,MATCH(A273,Actividades!$A$6:$A$104,0))</x:f>
        <x:v>0.05</x:v>
      </x:c>
      <x:c r="I273" s="33" t="n">
        <x:f>G273*H273</x:f>
        <x:v>0.05</x:v>
      </x:c>
      <x:c r="J273" s="35"/>
      <x:c r="K273" s="33" t="str">
        <x:f>IF(ISNUMBER(J273),G273*J273,"")</x:f>
      </x:c>
      <x:c r="L273" s="33" t="str">
        <x:f>IF(ISNUMBER(J273),I273*J273,"")</x:f>
      </x:c>
      <x:c r="M273" s="36"/>
      <x:c r="N273" s="37"/>
      <x:c r="O273" s="37"/>
      <x:c r="P273" s="30" t="n">
        <x:f>IF(ISNUMBER(J273),0,1)</x:f>
        <x:v>1</x:v>
      </x:c>
    </x:row>
    <x:row r="274" ht="54" customHeight="1">
      <x:c r="A274" s="30" t="str">
        <x:v>P16 / C6-A2</x:v>
      </x:c>
      <x:c r="B274" s="30" t="str">
        <x:v>C6</x:v>
      </x:c>
      <x:c r="C274" s="30" t="str">
        <x:v>P16</x:v>
      </x:c>
      <x:c r="D274" s="30" t="str">
        <x:v>C6-A2</x:v>
      </x:c>
      <x:c r="E274" s="30" t="str">
        <x:v>Liliana Restrepo</x:v>
      </x:c>
      <x:c r="F274" s="30" t="str">
        <x:v>Apoyo técnico</x:v>
      </x:c>
      <x:c r="G274" s="35" t="n">
        <x:v>0.8823529411764706</x:v>
      </x:c>
      <x:c r="H274" s="33" t="n">
        <x:f>INDEX(Actividades!$I$6:$I$104,MATCH(A274,Actividades!$A$6:$A$104,0))</x:f>
        <x:v>0.17</x:v>
      </x:c>
      <x:c r="I274" s="33" t="n">
        <x:f>G274*H274</x:f>
        <x:v>0.15</x:v>
      </x:c>
      <x:c r="J274" s="35"/>
      <x:c r="K274" s="33" t="str">
        <x:f>IF(ISNUMBER(J274),G274*J274,"")</x:f>
      </x:c>
      <x:c r="L274" s="33" t="str">
        <x:f>IF(ISNUMBER(J274),I274*J274,"")</x:f>
      </x:c>
      <x:c r="M274" s="36"/>
      <x:c r="N274" s="37"/>
      <x:c r="O274" s="37"/>
      <x:c r="P274" s="30" t="n">
        <x:f>IF(ISNUMBER(J274),0,1)</x:f>
        <x:v>1</x:v>
      </x:c>
    </x:row>
    <x:row r="275" ht="54" customHeight="1">
      <x:c r="A275" s="30" t="str">
        <x:v>P16 / C6-A2</x:v>
      </x:c>
      <x:c r="B275" s="30" t="str">
        <x:v>C6</x:v>
      </x:c>
      <x:c r="C275" s="30" t="str">
        <x:v>P16</x:v>
      </x:c>
      <x:c r="D275" s="30" t="str">
        <x:v>C6-A2</x:v>
      </x:c>
      <x:c r="E275" s="30" t="str">
        <x:v>Paola Andrea Ruiz Franco</x:v>
      </x:c>
      <x:c r="F275" s="30" t="str">
        <x:v>Coordinación técnica, integración y seguimiento</x:v>
      </x:c>
      <x:c r="G275" s="35" t="n">
        <x:v>0.11764705882352941</x:v>
      </x:c>
      <x:c r="H275" s="33" t="n">
        <x:f>INDEX(Actividades!$I$6:$I$104,MATCH(A275,Actividades!$A$6:$A$104,0))</x:f>
        <x:v>0.17</x:v>
      </x:c>
      <x:c r="I275" s="33" t="n">
        <x:f>G275*H275</x:f>
        <x:v>0.02</x:v>
      </x:c>
      <x:c r="J275" s="35"/>
      <x:c r="K275" s="33" t="str">
        <x:f>IF(ISNUMBER(J275),G275*J275,"")</x:f>
      </x:c>
      <x:c r="L275" s="33" t="str">
        <x:f>IF(ISNUMBER(J275),I275*J275,"")</x:f>
      </x:c>
      <x:c r="M275" s="36"/>
      <x:c r="N275" s="37"/>
      <x:c r="O275" s="37"/>
      <x:c r="P275" s="30" t="n">
        <x:f>IF(ISNUMBER(J275),0,1)</x:f>
        <x:v>1</x:v>
      </x:c>
    </x:row>
    <x:row r="276" ht="54" customHeight="1">
      <x:c r="A276" s="30" t="str">
        <x:v>P16 / C6-A3</x:v>
      </x:c>
      <x:c r="B276" s="30" t="str">
        <x:v>C6</x:v>
      </x:c>
      <x:c r="C276" s="30" t="str">
        <x:v>P16</x:v>
      </x:c>
      <x:c r="D276" s="30" t="str">
        <x:v>C6-A3</x:v>
      </x:c>
      <x:c r="E276" s="30" t="str">
        <x:v>Sebastián Cartagena</x:v>
      </x:c>
      <x:c r="F276" s="30" t="str">
        <x:v>Elaboración técnica</x:v>
      </x:c>
      <x:c r="G276" s="35" t="n">
        <x:v>0.17647058823529413</x:v>
      </x:c>
      <x:c r="H276" s="33" t="n">
        <x:f>INDEX(Actividades!$I$6:$I$104,MATCH(A276,Actividades!$A$6:$A$104,0))</x:f>
        <x:v>0.425</x:v>
      </x:c>
      <x:c r="I276" s="33" t="n">
        <x:f>G276*H276</x:f>
        <x:v>0.075</x:v>
      </x:c>
      <x:c r="J276" s="35"/>
      <x:c r="K276" s="33" t="str">
        <x:f>IF(ISNUMBER(J276),G276*J276,"")</x:f>
      </x:c>
      <x:c r="L276" s="33" t="str">
        <x:f>IF(ISNUMBER(J276),I276*J276,"")</x:f>
      </x:c>
      <x:c r="M276" s="36"/>
      <x:c r="N276" s="37"/>
      <x:c r="O276" s="37"/>
      <x:c r="P276" s="30" t="n">
        <x:f>IF(ISNUMBER(J276),0,1)</x:f>
        <x:v>1</x:v>
      </x:c>
    </x:row>
    <x:row r="277" ht="54" customHeight="1">
      <x:c r="A277" s="30" t="str">
        <x:v>P16 / C6-A3</x:v>
      </x:c>
      <x:c r="B277" s="30" t="str">
        <x:v>C6</x:v>
      </x:c>
      <x:c r="C277" s="30" t="str">
        <x:v>P16</x:v>
      </x:c>
      <x:c r="D277" s="30" t="str">
        <x:v>C6-A3</x:v>
      </x:c>
      <x:c r="E277" s="30" t="str">
        <x:v>Liliana Restrepo</x:v>
      </x:c>
      <x:c r="F277" s="30" t="str">
        <x:v>Elaboración técnica</x:v>
      </x:c>
      <x:c r="G277" s="35" t="n">
        <x:v>0.17647058823529413</x:v>
      </x:c>
      <x:c r="H277" s="33" t="n">
        <x:f>INDEX(Actividades!$I$6:$I$104,MATCH(A277,Actividades!$A$6:$A$104,0))</x:f>
        <x:v>0.425</x:v>
      </x:c>
      <x:c r="I277" s="33" t="n">
        <x:f>G277*H277</x:f>
        <x:v>0.075</x:v>
      </x:c>
      <x:c r="J277" s="35"/>
      <x:c r="K277" s="33" t="str">
        <x:f>IF(ISNUMBER(J277),G277*J277,"")</x:f>
      </x:c>
      <x:c r="L277" s="33" t="str">
        <x:f>IF(ISNUMBER(J277),I277*J277,"")</x:f>
      </x:c>
      <x:c r="M277" s="36"/>
      <x:c r="N277" s="37"/>
      <x:c r="O277" s="37"/>
      <x:c r="P277" s="30" t="n">
        <x:f>IF(ISNUMBER(J277),0,1)</x:f>
        <x:v>1</x:v>
      </x:c>
    </x:row>
    <x:row r="278" ht="54" customHeight="1">
      <x:c r="A278" s="30" t="str">
        <x:v>P16 / C6-A3</x:v>
      </x:c>
      <x:c r="B278" s="30" t="str">
        <x:v>C6</x:v>
      </x:c>
      <x:c r="C278" s="30" t="str">
        <x:v>P16</x:v>
      </x:c>
      <x:c r="D278" s="30" t="str">
        <x:v>C6-A3</x:v>
      </x:c>
      <x:c r="E278" s="30" t="str">
        <x:v>Curaduría Museo</x:v>
      </x:c>
      <x:c r="F278" s="30" t="str">
        <x:v>Corresponsable de apropiación social y divulgación</x:v>
      </x:c>
      <x:c r="G278" s="35" t="n">
        <x:v>0.17647058823529413</x:v>
      </x:c>
      <x:c r="H278" s="33" t="n">
        <x:f>INDEX(Actividades!$I$6:$I$104,MATCH(A278,Actividades!$A$6:$A$104,0))</x:f>
        <x:v>0.425</x:v>
      </x:c>
      <x:c r="I278" s="33" t="n">
        <x:f>G278*H278</x:f>
        <x:v>0.075</x:v>
      </x:c>
      <x:c r="J278" s="35"/>
      <x:c r="K278" s="33" t="str">
        <x:f>IF(ISNUMBER(J278),G278*J278,"")</x:f>
      </x:c>
      <x:c r="L278" s="33" t="str">
        <x:f>IF(ISNUMBER(J278),I278*J278,"")</x:f>
      </x:c>
      <x:c r="M278" s="36"/>
      <x:c r="N278" s="37"/>
      <x:c r="O278" s="37"/>
      <x:c r="P278" s="30" t="n">
        <x:f>IF(ISNUMBER(J278),0,1)</x:f>
        <x:v>1</x:v>
      </x:c>
    </x:row>
    <x:row r="279" ht="54" customHeight="1">
      <x:c r="A279" s="30" t="str">
        <x:v>P16 / C6-A3</x:v>
      </x:c>
      <x:c r="B279" s="30" t="str">
        <x:v>C6</x:v>
      </x:c>
      <x:c r="C279" s="30" t="str">
        <x:v>P16</x:v>
      </x:c>
      <x:c r="D279" s="30" t="str">
        <x:v>C6-A3</x:v>
      </x:c>
      <x:c r="E279" s="30" t="str">
        <x:v>Juliana Valencia</x:v>
      </x:c>
      <x:c r="F279" s="30" t="str">
        <x:v>Apoyo técnico</x:v>
      </x:c>
      <x:c r="G279" s="35" t="n">
        <x:v>0.08823529411764706</x:v>
      </x:c>
      <x:c r="H279" s="33" t="n">
        <x:f>INDEX(Actividades!$I$6:$I$104,MATCH(A279,Actividades!$A$6:$A$104,0))</x:f>
        <x:v>0.425</x:v>
      </x:c>
      <x:c r="I279" s="33" t="n">
        <x:f>G279*H279</x:f>
        <x:v>0.0375</x:v>
      </x:c>
      <x:c r="J279" s="35"/>
      <x:c r="K279" s="33" t="str">
        <x:f>IF(ISNUMBER(J279),G279*J279,"")</x:f>
      </x:c>
      <x:c r="L279" s="33" t="str">
        <x:f>IF(ISNUMBER(J279),I279*J279,"")</x:f>
      </x:c>
      <x:c r="M279" s="36"/>
      <x:c r="N279" s="37"/>
      <x:c r="O279" s="37"/>
      <x:c r="P279" s="30" t="n">
        <x:f>IF(ISNUMBER(J279),0,1)</x:f>
        <x:v>1</x:v>
      </x:c>
    </x:row>
    <x:row r="280" ht="54" customHeight="1">
      <x:c r="A280" s="30" t="str">
        <x:v>P16 / C6-A3</x:v>
      </x:c>
      <x:c r="B280" s="30" t="str">
        <x:v>C6</x:v>
      </x:c>
      <x:c r="C280" s="30" t="str">
        <x:v>P16</x:v>
      </x:c>
      <x:c r="D280" s="30" t="str">
        <x:v>C6-A3</x:v>
      </x:c>
      <x:c r="E280" s="30" t="str">
        <x:v>Marcos Arango Tamayo</x:v>
      </x:c>
      <x:c r="F280" s="30" t="str">
        <x:v>Apoyo técnico</x:v>
      </x:c>
      <x:c r="G280" s="35" t="n">
        <x:v>0.08823529411764706</x:v>
      </x:c>
      <x:c r="H280" s="33" t="n">
        <x:f>INDEX(Actividades!$I$6:$I$104,MATCH(A280,Actividades!$A$6:$A$104,0))</x:f>
        <x:v>0.425</x:v>
      </x:c>
      <x:c r="I280" s="33" t="n">
        <x:f>G280*H280</x:f>
        <x:v>0.0375</x:v>
      </x:c>
      <x:c r="J280" s="35"/>
      <x:c r="K280" s="33" t="str">
        <x:f>IF(ISNUMBER(J280),G280*J280,"")</x:f>
      </x:c>
      <x:c r="L280" s="33" t="str">
        <x:f>IF(ISNUMBER(J280),I280*J280,"")</x:f>
      </x:c>
      <x:c r="M280" s="36"/>
      <x:c r="N280" s="37"/>
      <x:c r="O280" s="37"/>
      <x:c r="P280" s="30" t="n">
        <x:f>IF(ISNUMBER(J280),0,1)</x:f>
        <x:v>1</x:v>
      </x:c>
    </x:row>
    <x:row r="281" ht="54" customHeight="1">
      <x:c r="A281" s="30" t="str">
        <x:v>P16 / C6-A3</x:v>
      </x:c>
      <x:c r="B281" s="30" t="str">
        <x:v>C6</x:v>
      </x:c>
      <x:c r="C281" s="30" t="str">
        <x:v>P16</x:v>
      </x:c>
      <x:c r="D281" s="30" t="str">
        <x:v>C6-A3</x:v>
      </x:c>
      <x:c r="E281" s="30" t="str">
        <x:v>Vanessa García Leoz</x:v>
      </x:c>
      <x:c r="F281" s="30" t="str">
        <x:v>Apoyo técnico</x:v>
      </x:c>
      <x:c r="G281" s="35" t="n">
        <x:v>0.08823529411764706</x:v>
      </x:c>
      <x:c r="H281" s="33" t="n">
        <x:f>INDEX(Actividades!$I$6:$I$104,MATCH(A281,Actividades!$A$6:$A$104,0))</x:f>
        <x:v>0.425</x:v>
      </x:c>
      <x:c r="I281" s="33" t="n">
        <x:f>G281*H281</x:f>
        <x:v>0.0375</x:v>
      </x:c>
      <x:c r="J281" s="35"/>
      <x:c r="K281" s="33" t="str">
        <x:f>IF(ISNUMBER(J281),G281*J281,"")</x:f>
      </x:c>
      <x:c r="L281" s="33" t="str">
        <x:f>IF(ISNUMBER(J281),I281*J281,"")</x:f>
      </x:c>
      <x:c r="M281" s="36"/>
      <x:c r="N281" s="37"/>
      <x:c r="O281" s="37"/>
      <x:c r="P281" s="30" t="n">
        <x:f>IF(ISNUMBER(J281),0,1)</x:f>
        <x:v>1</x:v>
      </x:c>
    </x:row>
    <x:row r="282" ht="54" customHeight="1">
      <x:c r="A282" s="30" t="str">
        <x:v>P16 / C6-A3</x:v>
      </x:c>
      <x:c r="B282" s="30" t="str">
        <x:v>C6</x:v>
      </x:c>
      <x:c r="C282" s="30" t="str">
        <x:v>P16</x:v>
      </x:c>
      <x:c r="D282" s="30" t="str">
        <x:v>C6-A3</x:v>
      </x:c>
      <x:c r="E282" s="30" t="str">
        <x:v>Alejandro Silva Cortés</x:v>
      </x:c>
      <x:c r="F282" s="30" t="str">
        <x:v>Apoyo técnico</x:v>
      </x:c>
      <x:c r="G282" s="35" t="n">
        <x:v>0.08823529411764706</x:v>
      </x:c>
      <x:c r="H282" s="33" t="n">
        <x:f>INDEX(Actividades!$I$6:$I$104,MATCH(A282,Actividades!$A$6:$A$104,0))</x:f>
        <x:v>0.425</x:v>
      </x:c>
      <x:c r="I282" s="33" t="n">
        <x:f>G282*H282</x:f>
        <x:v>0.0375</x:v>
      </x:c>
      <x:c r="J282" s="35"/>
      <x:c r="K282" s="33" t="str">
        <x:f>IF(ISNUMBER(J282),G282*J282,"")</x:f>
      </x:c>
      <x:c r="L282" s="33" t="str">
        <x:f>IF(ISNUMBER(J282),I282*J282,"")</x:f>
      </x:c>
      <x:c r="M282" s="36"/>
      <x:c r="N282" s="37"/>
      <x:c r="O282" s="37"/>
      <x:c r="P282" s="30" t="n">
        <x:f>IF(ISNUMBER(J282),0,1)</x:f>
        <x:v>1</x:v>
      </x:c>
    </x:row>
    <x:row r="283" ht="54" customHeight="1">
      <x:c r="A283" s="30" t="str">
        <x:v>P16 / C6-A3</x:v>
      </x:c>
      <x:c r="B283" s="30" t="str">
        <x:v>C6</x:v>
      </x:c>
      <x:c r="C283" s="30" t="str">
        <x:v>P16</x:v>
      </x:c>
      <x:c r="D283" s="30" t="str">
        <x:v>C6-A3</x:v>
      </x:c>
      <x:c r="E283" s="30" t="str">
        <x:v>Paola Andrea Ruiz Franco</x:v>
      </x:c>
      <x:c r="F283" s="30" t="str">
        <x:v>Coordinación técnica, integración y seguimiento</x:v>
      </x:c>
      <x:c r="G283" s="35" t="n">
        <x:v>0.11764705882352941</x:v>
      </x:c>
      <x:c r="H283" s="33" t="n">
        <x:f>INDEX(Actividades!$I$6:$I$104,MATCH(A283,Actividades!$A$6:$A$104,0))</x:f>
        <x:v>0.425</x:v>
      </x:c>
      <x:c r="I283" s="33" t="n">
        <x:f>G283*H283</x:f>
        <x:v>0.049999999999999996</x:v>
      </x:c>
      <x:c r="J283" s="35"/>
      <x:c r="K283" s="33" t="str">
        <x:f>IF(ISNUMBER(J283),G283*J283,"")</x:f>
      </x:c>
      <x:c r="L283" s="33" t="str">
        <x:f>IF(ISNUMBER(J283),I283*J283,"")</x:f>
      </x:c>
      <x:c r="M283" s="36"/>
      <x:c r="N283" s="37"/>
      <x:c r="O283" s="37"/>
      <x:c r="P283" s="30" t="n">
        <x:f>IF(ISNUMBER(J283),0,1)</x:f>
        <x:v>1</x:v>
      </x:c>
    </x:row>
    <x:row r="284" ht="54" customHeight="1">
      <x:c r="A284" s="30" t="str">
        <x:v>P16 / C6-A4</x:v>
      </x:c>
      <x:c r="B284" s="30" t="str">
        <x:v>C6</x:v>
      </x:c>
      <x:c r="C284" s="30" t="str">
        <x:v>P16</x:v>
      </x:c>
      <x:c r="D284" s="30" t="str">
        <x:v>C6-A4</x:v>
      </x:c>
      <x:c r="E284" s="30" t="str">
        <x:v>Liliana Restrepo</x:v>
      </x:c>
      <x:c r="F284" s="30" t="str">
        <x:v>Elaboración técnica</x:v>
      </x:c>
      <x:c r="G284" s="35" t="n">
        <x:v>0.4411764705882353</x:v>
      </x:c>
      <x:c r="H284" s="33" t="n">
        <x:f>INDEX(Actividades!$I$6:$I$104,MATCH(A284,Actividades!$A$6:$A$104,0))</x:f>
        <x:v>0.255</x:v>
      </x:c>
      <x:c r="I284" s="33" t="n">
        <x:f>G284*H284</x:f>
        <x:v>0.1125</x:v>
      </x:c>
      <x:c r="J284" s="35"/>
      <x:c r="K284" s="33" t="str">
        <x:f>IF(ISNUMBER(J284),G284*J284,"")</x:f>
      </x:c>
      <x:c r="L284" s="33" t="str">
        <x:f>IF(ISNUMBER(J284),I284*J284,"")</x:f>
      </x:c>
      <x:c r="M284" s="36"/>
      <x:c r="N284" s="37"/>
      <x:c r="O284" s="37"/>
      <x:c r="P284" s="30" t="n">
        <x:f>IF(ISNUMBER(J284),0,1)</x:f>
        <x:v>1</x:v>
      </x:c>
    </x:row>
    <x:row r="285" ht="54" customHeight="1">
      <x:c r="A285" s="30" t="str">
        <x:v>P16 / C6-A4</x:v>
      </x:c>
      <x:c r="B285" s="30" t="str">
        <x:v>C6</x:v>
      </x:c>
      <x:c r="C285" s="30" t="str">
        <x:v>P16</x:v>
      </x:c>
      <x:c r="D285" s="30" t="str">
        <x:v>C6-A4</x:v>
      </x:c>
      <x:c r="E285" s="30" t="str">
        <x:v>Curaduría Museo</x:v>
      </x:c>
      <x:c r="F285" s="30" t="str">
        <x:v>Corresponsable de apropiación social y divulgación</x:v>
      </x:c>
      <x:c r="G285" s="35" t="n">
        <x:v>0.4411764705882353</x:v>
      </x:c>
      <x:c r="H285" s="33" t="n">
        <x:f>INDEX(Actividades!$I$6:$I$104,MATCH(A285,Actividades!$A$6:$A$104,0))</x:f>
        <x:v>0.255</x:v>
      </x:c>
      <x:c r="I285" s="33" t="n">
        <x:f>G285*H285</x:f>
        <x:v>0.1125</x:v>
      </x:c>
      <x:c r="J285" s="35"/>
      <x:c r="K285" s="33" t="str">
        <x:f>IF(ISNUMBER(J285),G285*J285,"")</x:f>
      </x:c>
      <x:c r="L285" s="33" t="str">
        <x:f>IF(ISNUMBER(J285),I285*J285,"")</x:f>
      </x:c>
      <x:c r="M285" s="36"/>
      <x:c r="N285" s="37"/>
      <x:c r="O285" s="37"/>
      <x:c r="P285" s="30" t="n">
        <x:f>IF(ISNUMBER(J285),0,1)</x:f>
        <x:v>1</x:v>
      </x:c>
    </x:row>
    <x:row r="286" ht="54" customHeight="1">
      <x:c r="A286" s="30" t="str">
        <x:v>P16 / C6-A4</x:v>
      </x:c>
      <x:c r="B286" s="30" t="str">
        <x:v>C6</x:v>
      </x:c>
      <x:c r="C286" s="30" t="str">
        <x:v>P16</x:v>
      </x:c>
      <x:c r="D286" s="30" t="str">
        <x:v>C6-A4</x:v>
      </x:c>
      <x:c r="E286" s="30" t="str">
        <x:v>Paola Andrea Ruiz Franco</x:v>
      </x:c>
      <x:c r="F286" s="30" t="str">
        <x:v>Coordinación técnica, integración y seguimiento</x:v>
      </x:c>
      <x:c r="G286" s="35" t="n">
        <x:v>0.11764705882352941</x:v>
      </x:c>
      <x:c r="H286" s="33" t="n">
        <x:f>INDEX(Actividades!$I$6:$I$104,MATCH(A286,Actividades!$A$6:$A$104,0))</x:f>
        <x:v>0.255</x:v>
      </x:c>
      <x:c r="I286" s="33" t="n">
        <x:f>G286*H286</x:f>
        <x:v>0.03</x:v>
      </x:c>
      <x:c r="J286" s="35"/>
      <x:c r="K286" s="33" t="str">
        <x:f>IF(ISNUMBER(J286),G286*J286,"")</x:f>
      </x:c>
      <x:c r="L286" s="33" t="str">
        <x:f>IF(ISNUMBER(J286),I286*J286,"")</x:f>
      </x:c>
      <x:c r="M286" s="36"/>
      <x:c r="N286" s="37"/>
      <x:c r="O286" s="37"/>
      <x:c r="P286" s="30" t="n">
        <x:f>IF(ISNUMBER(J286),0,1)</x:f>
        <x:v>1</x:v>
      </x:c>
    </x:row>
    <x:row r="287" ht="54" customHeight="1">
      <x:c r="A287" s="30" t="str">
        <x:v>P16 / R01</x:v>
      </x:c>
      <x:c r="B287" s="30" t="str">
        <x:v>C6</x:v>
      </x:c>
      <x:c r="C287" s="30" t="str">
        <x:v>P16</x:v>
      </x:c>
      <x:c r="D287" s="30" t="str">
        <x:v>R01</x:v>
      </x:c>
      <x:c r="E287" s="30" t="str">
        <x:v>Guillermo Penagos</x:v>
      </x:c>
      <x:c r="F287" s="30" t="str">
        <x:v>Revisión técnica y cierre para envío a Secretaría</x:v>
      </x:c>
      <x:c r="G287" s="35" t="n">
        <x:v>0.5</x:v>
      </x:c>
      <x:c r="H287" s="33" t="n">
        <x:f>INDEX(Actividades!$I$6:$I$104,MATCH(A287,Actividades!$A$6:$A$104,0))</x:f>
        <x:v>0.1</x:v>
      </x:c>
      <x:c r="I287" s="33" t="n">
        <x:f>G287*H287</x:f>
        <x:v>0.05</x:v>
      </x:c>
      <x:c r="J287" s="35"/>
      <x:c r="K287" s="33" t="str">
        <x:f>IF(ISNUMBER(J287),G287*J287,"")</x:f>
      </x:c>
      <x:c r="L287" s="33" t="str">
        <x:f>IF(ISNUMBER(J287),I287*J287,"")</x:f>
      </x:c>
      <x:c r="M287" s="36"/>
      <x:c r="N287" s="37"/>
      <x:c r="O287" s="37"/>
      <x:c r="P287" s="30" t="n">
        <x:f>IF(ISNUMBER(J287),0,1)</x:f>
        <x:v>1</x:v>
      </x:c>
    </x:row>
    <x:row r="288" ht="54" customHeight="1">
      <x:c r="A288" s="30" t="str">
        <x:v>P16 / R01</x:v>
      </x:c>
      <x:c r="B288" s="30" t="str">
        <x:v>C6</x:v>
      </x:c>
      <x:c r="C288" s="30" t="str">
        <x:v>P16</x:v>
      </x:c>
      <x:c r="D288" s="30" t="str">
        <x:v>R01</x:v>
      </x:c>
      <x:c r="E288" s="30" t="str">
        <x:v>María José Suárez</x:v>
      </x:c>
      <x:c r="F288" s="30" t="str">
        <x:v>Revisión integral y cierre para envío a Secretaría</x:v>
      </x:c>
      <x:c r="G288" s="35" t="n">
        <x:v>0.5</x:v>
      </x:c>
      <x:c r="H288" s="33" t="n">
        <x:f>INDEX(Actividades!$I$6:$I$104,MATCH(A288,Actividades!$A$6:$A$104,0))</x:f>
        <x:v>0.1</x:v>
      </x:c>
      <x:c r="I288" s="33" t="n">
        <x:f>G288*H288</x:f>
        <x:v>0.05</x:v>
      </x:c>
      <x:c r="J288" s="35"/>
      <x:c r="K288" s="33" t="str">
        <x:f>IF(ISNUMBER(J288),G288*J288,"")</x:f>
      </x:c>
      <x:c r="L288" s="33" t="str">
        <x:f>IF(ISNUMBER(J288),I288*J288,"")</x:f>
      </x:c>
      <x:c r="M288" s="36"/>
      <x:c r="N288" s="37"/>
      <x:c r="O288" s="37"/>
      <x:c r="P288" s="30" t="n">
        <x:f>IF(ISNUMBER(J288),0,1)</x:f>
        <x:v>1</x:v>
      </x:c>
    </x:row>
    <x:row r="289" ht="54" customHeight="1">
      <x:c r="A289" s="30" t="str">
        <x:v>P16 / R02</x:v>
      </x:c>
      <x:c r="B289" s="30" t="str">
        <x:v>C6</x:v>
      </x:c>
      <x:c r="C289" s="30" t="str">
        <x:v>P16</x:v>
      </x:c>
      <x:c r="D289" s="30" t="str">
        <x:v>R02</x:v>
      </x:c>
      <x:c r="E289" s="30" t="str">
        <x:v>Juana — Secretaría de Medio Ambiente</x:v>
      </x:c>
      <x:c r="F289" s="30" t="str">
        <x:v>Validación y revisión final institucional</x:v>
      </x:c>
      <x:c r="G289" s="35" t="n">
        <x:v>1</x:v>
      </x:c>
      <x:c r="H289" s="33" t="n">
        <x:f>INDEX(Actividades!$I$6:$I$104,MATCH(A289,Actividades!$A$6:$A$104,0))</x:f>
        <x:v>0.05</x:v>
      </x:c>
      <x:c r="I289" s="33" t="n">
        <x:f>G289*H289</x:f>
        <x:v>0.05</x:v>
      </x:c>
      <x:c r="J289" s="35"/>
      <x:c r="K289" s="33" t="str">
        <x:f>IF(ISNUMBER(J289),G289*J289,"")</x:f>
      </x:c>
      <x:c r="L289" s="33" t="str">
        <x:f>IF(ISNUMBER(J289),I289*J289,"")</x:f>
      </x:c>
      <x:c r="M289" s="36"/>
      <x:c r="N289" s="37"/>
      <x:c r="O289" s="37"/>
      <x:c r="P289" s="30" t="n">
        <x:f>IF(ISNUMBER(J289),0,1)</x:f>
        <x:v>1</x:v>
      </x:c>
    </x:row>
    <x:row r="290" ht="54" customHeight="1">
      <x:c r="A290" s="30" t="str">
        <x:v>P17 / C6-A2</x:v>
      </x:c>
      <x:c r="B290" s="30" t="str">
        <x:v>C6</x:v>
      </x:c>
      <x:c r="C290" s="30" t="str">
        <x:v>P17</x:v>
      </x:c>
      <x:c r="D290" s="30" t="str">
        <x:v>C6-A2</x:v>
      </x:c>
      <x:c r="E290" s="30" t="str">
        <x:v>Sebastián Cartagena</x:v>
      </x:c>
      <x:c r="F290" s="30" t="str">
        <x:v>Elaboración técnica</x:v>
      </x:c>
      <x:c r="G290" s="35" t="n">
        <x:v>0.5882352941176471</x:v>
      </x:c>
      <x:c r="H290" s="33" t="n">
        <x:f>INDEX(Actividades!$I$6:$I$104,MATCH(A290,Actividades!$A$6:$A$104,0))</x:f>
        <x:v>0.085</x:v>
      </x:c>
      <x:c r="I290" s="33" t="n">
        <x:f>G290*H290</x:f>
        <x:v>0.05</x:v>
      </x:c>
      <x:c r="J290" s="35"/>
      <x:c r="K290" s="33" t="str">
        <x:f>IF(ISNUMBER(J290),G290*J290,"")</x:f>
      </x:c>
      <x:c r="L290" s="33" t="str">
        <x:f>IF(ISNUMBER(J290),I290*J290,"")</x:f>
      </x:c>
      <x:c r="M290" s="36"/>
      <x:c r="N290" s="37"/>
      <x:c r="O290" s="37"/>
      <x:c r="P290" s="30" t="n">
        <x:f>IF(ISNUMBER(J290),0,1)</x:f>
        <x:v>1</x:v>
      </x:c>
    </x:row>
    <x:row r="291" ht="54" customHeight="1">
      <x:c r="A291" s="30" t="str">
        <x:v>P17 / C6-A2</x:v>
      </x:c>
      <x:c r="B291" s="30" t="str">
        <x:v>C6</x:v>
      </x:c>
      <x:c r="C291" s="30" t="str">
        <x:v>P17</x:v>
      </x:c>
      <x:c r="D291" s="30" t="str">
        <x:v>C6-A2</x:v>
      </x:c>
      <x:c r="E291" s="30" t="str">
        <x:v>Liliana Restrepo</x:v>
      </x:c>
      <x:c r="F291" s="30" t="str">
        <x:v>Apoyo técnico</x:v>
      </x:c>
      <x:c r="G291" s="35" t="n">
        <x:v>0.29411764705882354</x:v>
      </x:c>
      <x:c r="H291" s="33" t="n">
        <x:f>INDEX(Actividades!$I$6:$I$104,MATCH(A291,Actividades!$A$6:$A$104,0))</x:f>
        <x:v>0.085</x:v>
      </x:c>
      <x:c r="I291" s="33" t="n">
        <x:f>G291*H291</x:f>
        <x:v>0.025</x:v>
      </x:c>
      <x:c r="J291" s="35"/>
      <x:c r="K291" s="33" t="str">
        <x:f>IF(ISNUMBER(J291),G291*J291,"")</x:f>
      </x:c>
      <x:c r="L291" s="33" t="str">
        <x:f>IF(ISNUMBER(J291),I291*J291,"")</x:f>
      </x:c>
      <x:c r="M291" s="36"/>
      <x:c r="N291" s="37"/>
      <x:c r="O291" s="37"/>
      <x:c r="P291" s="30" t="n">
        <x:f>IF(ISNUMBER(J291),0,1)</x:f>
        <x:v>1</x:v>
      </x:c>
    </x:row>
    <x:row r="292" ht="54" customHeight="1">
      <x:c r="A292" s="30" t="str">
        <x:v>P17 / C6-A2</x:v>
      </x:c>
      <x:c r="B292" s="30" t="str">
        <x:v>C6</x:v>
      </x:c>
      <x:c r="C292" s="30" t="str">
        <x:v>P17</x:v>
      </x:c>
      <x:c r="D292" s="30" t="str">
        <x:v>C6-A2</x:v>
      </x:c>
      <x:c r="E292" s="30" t="str">
        <x:v>Paola Andrea Ruiz Franco</x:v>
      </x:c>
      <x:c r="F292" s="30" t="str">
        <x:v>Coordinación técnica, integración y seguimiento</x:v>
      </x:c>
      <x:c r="G292" s="35" t="n">
        <x:v>0.11764705882352941</x:v>
      </x:c>
      <x:c r="H292" s="33" t="n">
        <x:f>INDEX(Actividades!$I$6:$I$104,MATCH(A292,Actividades!$A$6:$A$104,0))</x:f>
        <x:v>0.085</x:v>
      </x:c>
      <x:c r="I292" s="33" t="n">
        <x:f>G292*H292</x:f>
        <x:v>0.01</x:v>
      </x:c>
      <x:c r="J292" s="35"/>
      <x:c r="K292" s="33" t="str">
        <x:f>IF(ISNUMBER(J292),G292*J292,"")</x:f>
      </x:c>
      <x:c r="L292" s="33" t="str">
        <x:f>IF(ISNUMBER(J292),I292*J292,"")</x:f>
      </x:c>
      <x:c r="M292" s="36"/>
      <x:c r="N292" s="37"/>
      <x:c r="O292" s="37"/>
      <x:c r="P292" s="30" t="n">
        <x:f>IF(ISNUMBER(J292),0,1)</x:f>
        <x:v>1</x:v>
      </x:c>
    </x:row>
    <x:row r="293" ht="54" customHeight="1">
      <x:c r="A293" s="30" t="str">
        <x:v>P17 / C6-A3</x:v>
      </x:c>
      <x:c r="B293" s="30" t="str">
        <x:v>C6</x:v>
      </x:c>
      <x:c r="C293" s="30" t="str">
        <x:v>P17</x:v>
      </x:c>
      <x:c r="D293" s="30" t="str">
        <x:v>C6-A3</x:v>
      </x:c>
      <x:c r="E293" s="30" t="str">
        <x:v>Sebastián Cartagena</x:v>
      </x:c>
      <x:c r="F293" s="30" t="str">
        <x:v>Elaboración técnica</x:v>
      </x:c>
      <x:c r="G293" s="35" t="n">
        <x:v>0.29411764705882354</x:v>
      </x:c>
      <x:c r="H293" s="33" t="n">
        <x:f>INDEX(Actividades!$I$6:$I$104,MATCH(A293,Actividades!$A$6:$A$104,0))</x:f>
        <x:v>0.17</x:v>
      </x:c>
      <x:c r="I293" s="33" t="n">
        <x:f>G293*H293</x:f>
        <x:v>0.05</x:v>
      </x:c>
      <x:c r="J293" s="35"/>
      <x:c r="K293" s="33" t="str">
        <x:f>IF(ISNUMBER(J293),G293*J293,"")</x:f>
      </x:c>
      <x:c r="L293" s="33" t="str">
        <x:f>IF(ISNUMBER(J293),I293*J293,"")</x:f>
      </x:c>
      <x:c r="M293" s="36"/>
      <x:c r="N293" s="37"/>
      <x:c r="O293" s="37"/>
      <x:c r="P293" s="30" t="n">
        <x:f>IF(ISNUMBER(J293),0,1)</x:f>
        <x:v>1</x:v>
      </x:c>
    </x:row>
    <x:row r="294" ht="54" customHeight="1">
      <x:c r="A294" s="30" t="str">
        <x:v>P17 / C6-A3</x:v>
      </x:c>
      <x:c r="B294" s="30" t="str">
        <x:v>C6</x:v>
      </x:c>
      <x:c r="C294" s="30" t="str">
        <x:v>P17</x:v>
      </x:c>
      <x:c r="D294" s="30" t="str">
        <x:v>C6-A3</x:v>
      </x:c>
      <x:c r="E294" s="30" t="str">
        <x:v>Liliana Restrepo</x:v>
      </x:c>
      <x:c r="F294" s="30" t="str">
        <x:v>Elaboración técnica</x:v>
      </x:c>
      <x:c r="G294" s="35" t="n">
        <x:v>0.29411764705882354</x:v>
      </x:c>
      <x:c r="H294" s="33" t="n">
        <x:f>INDEX(Actividades!$I$6:$I$104,MATCH(A294,Actividades!$A$6:$A$104,0))</x:f>
        <x:v>0.17</x:v>
      </x:c>
      <x:c r="I294" s="33" t="n">
        <x:f>G294*H294</x:f>
        <x:v>0.05</x:v>
      </x:c>
      <x:c r="J294" s="35"/>
      <x:c r="K294" s="33" t="str">
        <x:f>IF(ISNUMBER(J294),G294*J294,"")</x:f>
      </x:c>
      <x:c r="L294" s="33" t="str">
        <x:f>IF(ISNUMBER(J294),I294*J294,"")</x:f>
      </x:c>
      <x:c r="M294" s="36"/>
      <x:c r="N294" s="37"/>
      <x:c r="O294" s="37"/>
      <x:c r="P294" s="30" t="n">
        <x:f>IF(ISNUMBER(J294),0,1)</x:f>
        <x:v>1</x:v>
      </x:c>
    </x:row>
    <x:row r="295" ht="54" customHeight="1">
      <x:c r="A295" s="30" t="str">
        <x:v>P17 / C6-A3</x:v>
      </x:c>
      <x:c r="B295" s="30" t="str">
        <x:v>C6</x:v>
      </x:c>
      <x:c r="C295" s="30" t="str">
        <x:v>P17</x:v>
      </x:c>
      <x:c r="D295" s="30" t="str">
        <x:v>C6-A3</x:v>
      </x:c>
      <x:c r="E295" s="30" t="str">
        <x:v>Curaduría Museo</x:v>
      </x:c>
      <x:c r="F295" s="30" t="str">
        <x:v>Corresponsable de apropiación social y divulgación</x:v>
      </x:c>
      <x:c r="G295" s="35" t="n">
        <x:v>0.29411764705882354</x:v>
      </x:c>
      <x:c r="H295" s="33" t="n">
        <x:f>INDEX(Actividades!$I$6:$I$104,MATCH(A295,Actividades!$A$6:$A$104,0))</x:f>
        <x:v>0.17</x:v>
      </x:c>
      <x:c r="I295" s="33" t="n">
        <x:f>G295*H295</x:f>
        <x:v>0.05</x:v>
      </x:c>
      <x:c r="J295" s="35"/>
      <x:c r="K295" s="33" t="str">
        <x:f>IF(ISNUMBER(J295),G295*J295,"")</x:f>
      </x:c>
      <x:c r="L295" s="33" t="str">
        <x:f>IF(ISNUMBER(J295),I295*J295,"")</x:f>
      </x:c>
      <x:c r="M295" s="36"/>
      <x:c r="N295" s="37"/>
      <x:c r="O295" s="37"/>
      <x:c r="P295" s="30" t="n">
        <x:f>IF(ISNUMBER(J295),0,1)</x:f>
        <x:v>1</x:v>
      </x:c>
    </x:row>
    <x:row r="296" ht="54" customHeight="1">
      <x:c r="A296" s="30" t="str">
        <x:v>P17 / C6-A3</x:v>
      </x:c>
      <x:c r="B296" s="30" t="str">
        <x:v>C6</x:v>
      </x:c>
      <x:c r="C296" s="30" t="str">
        <x:v>P17</x:v>
      </x:c>
      <x:c r="D296" s="30" t="str">
        <x:v>C6-A3</x:v>
      </x:c>
      <x:c r="E296" s="30" t="str">
        <x:v>Paola Andrea Ruiz Franco</x:v>
      </x:c>
      <x:c r="F296" s="30" t="str">
        <x:v>Coordinación técnica, integración y seguimiento</x:v>
      </x:c>
      <x:c r="G296" s="35" t="n">
        <x:v>0.11764705882352941</x:v>
      </x:c>
      <x:c r="H296" s="33" t="n">
        <x:f>INDEX(Actividades!$I$6:$I$104,MATCH(A296,Actividades!$A$6:$A$104,0))</x:f>
        <x:v>0.17</x:v>
      </x:c>
      <x:c r="I296" s="33" t="n">
        <x:f>G296*H296</x:f>
        <x:v>0.02</x:v>
      </x:c>
      <x:c r="J296" s="35"/>
      <x:c r="K296" s="33" t="str">
        <x:f>IF(ISNUMBER(J296),G296*J296,"")</x:f>
      </x:c>
      <x:c r="L296" s="33" t="str">
        <x:f>IF(ISNUMBER(J296),I296*J296,"")</x:f>
      </x:c>
      <x:c r="M296" s="36"/>
      <x:c r="N296" s="37"/>
      <x:c r="O296" s="37"/>
      <x:c r="P296" s="30" t="n">
        <x:f>IF(ISNUMBER(J296),0,1)</x:f>
        <x:v>1</x:v>
      </x:c>
    </x:row>
    <x:row r="297" ht="54" customHeight="1">
      <x:c r="A297" s="30" t="str">
        <x:v>P17 / C6-A4</x:v>
      </x:c>
      <x:c r="B297" s="30" t="str">
        <x:v>C6</x:v>
      </x:c>
      <x:c r="C297" s="30" t="str">
        <x:v>P17</x:v>
      </x:c>
      <x:c r="D297" s="30" t="str">
        <x:v>C6-A4</x:v>
      </x:c>
      <x:c r="E297" s="30" t="str">
        <x:v>Luis Eduardo Vahos Hernández</x:v>
      </x:c>
      <x:c r="F297" s="30" t="str">
        <x:v>Elaboración técnica</x:v>
      </x:c>
      <x:c r="G297" s="35" t="n">
        <x:v>0.196078431372549</x:v>
      </x:c>
      <x:c r="H297" s="33" t="n">
        <x:f>INDEX(Actividades!$I$6:$I$104,MATCH(A297,Actividades!$A$6:$A$104,0))</x:f>
        <x:v>0.595</x:v>
      </x:c>
      <x:c r="I297" s="33" t="n">
        <x:f>G297*H297</x:f>
        <x:v>0.11666666666666664</x:v>
      </x:c>
      <x:c r="J297" s="35"/>
      <x:c r="K297" s="33" t="str">
        <x:f>IF(ISNUMBER(J297),G297*J297,"")</x:f>
      </x:c>
      <x:c r="L297" s="33" t="str">
        <x:f>IF(ISNUMBER(J297),I297*J297,"")</x:f>
      </x:c>
      <x:c r="M297" s="36"/>
      <x:c r="N297" s="37"/>
      <x:c r="O297" s="37"/>
      <x:c r="P297" s="30" t="n">
        <x:f>IF(ISNUMBER(J297),0,1)</x:f>
        <x:v>1</x:v>
      </x:c>
    </x:row>
    <x:row r="298" ht="54" customHeight="1">
      <x:c r="A298" s="30" t="str">
        <x:v>P17 / C6-A4</x:v>
      </x:c>
      <x:c r="B298" s="30" t="str">
        <x:v>C6</x:v>
      </x:c>
      <x:c r="C298" s="30" t="str">
        <x:v>P17</x:v>
      </x:c>
      <x:c r="D298" s="30" t="str">
        <x:v>C6-A4</x:v>
      </x:c>
      <x:c r="E298" s="30" t="str">
        <x:v>León Darío Orrego Espejo</x:v>
      </x:c>
      <x:c r="F298" s="30" t="str">
        <x:v>Elaboración técnica</x:v>
      </x:c>
      <x:c r="G298" s="35" t="n">
        <x:v>0.196078431372549</x:v>
      </x:c>
      <x:c r="H298" s="33" t="n">
        <x:f>INDEX(Actividades!$I$6:$I$104,MATCH(A298,Actividades!$A$6:$A$104,0))</x:f>
        <x:v>0.595</x:v>
      </x:c>
      <x:c r="I298" s="33" t="n">
        <x:f>G298*H298</x:f>
        <x:v>0.11666666666666664</x:v>
      </x:c>
      <x:c r="J298" s="35"/>
      <x:c r="K298" s="33" t="str">
        <x:f>IF(ISNUMBER(J298),G298*J298,"")</x:f>
      </x:c>
      <x:c r="L298" s="33" t="str">
        <x:f>IF(ISNUMBER(J298),I298*J298,"")</x:f>
      </x:c>
      <x:c r="M298" s="36"/>
      <x:c r="N298" s="37"/>
      <x:c r="O298" s="37"/>
      <x:c r="P298" s="30" t="n">
        <x:f>IF(ISNUMBER(J298),0,1)</x:f>
        <x:v>1</x:v>
      </x:c>
    </x:row>
    <x:row r="299" ht="54" customHeight="1">
      <x:c r="A299" s="30" t="str">
        <x:v>P17 / C6-A4</x:v>
      </x:c>
      <x:c r="B299" s="30" t="str">
        <x:v>C6</x:v>
      </x:c>
      <x:c r="C299" s="30" t="str">
        <x:v>P17</x:v>
      </x:c>
      <x:c r="D299" s="30" t="str">
        <x:v>C6-A4</x:v>
      </x:c>
      <x:c r="E299" s="30" t="str">
        <x:v>Liliana Restrepo</x:v>
      </x:c>
      <x:c r="F299" s="30" t="str">
        <x:v>Elaboración técnica</x:v>
      </x:c>
      <x:c r="G299" s="35" t="n">
        <x:v>0.196078431372549</x:v>
      </x:c>
      <x:c r="H299" s="33" t="n">
        <x:f>INDEX(Actividades!$I$6:$I$104,MATCH(A299,Actividades!$A$6:$A$104,0))</x:f>
        <x:v>0.595</x:v>
      </x:c>
      <x:c r="I299" s="33" t="n">
        <x:f>G299*H299</x:f>
        <x:v>0.11666666666666664</x:v>
      </x:c>
      <x:c r="J299" s="35"/>
      <x:c r="K299" s="33" t="str">
        <x:f>IF(ISNUMBER(J299),G299*J299,"")</x:f>
      </x:c>
      <x:c r="L299" s="33" t="str">
        <x:f>IF(ISNUMBER(J299),I299*J299,"")</x:f>
      </x:c>
      <x:c r="M299" s="36"/>
      <x:c r="N299" s="37"/>
      <x:c r="O299" s="37"/>
      <x:c r="P299" s="30" t="n">
        <x:f>IF(ISNUMBER(J299),0,1)</x:f>
        <x:v>1</x:v>
      </x:c>
    </x:row>
    <x:row r="300" ht="54" customHeight="1">
      <x:c r="A300" s="30" t="str">
        <x:v>P17 / C6-A4</x:v>
      </x:c>
      <x:c r="B300" s="30" t="str">
        <x:v>C6</x:v>
      </x:c>
      <x:c r="C300" s="30" t="str">
        <x:v>P17</x:v>
      </x:c>
      <x:c r="D300" s="30" t="str">
        <x:v>C6-A4</x:v>
      </x:c>
      <x:c r="E300" s="30" t="str">
        <x:v>Curaduría Museo</x:v>
      </x:c>
      <x:c r="F300" s="30" t="str">
        <x:v>Corresponsable de apropiación social y divulgación</x:v>
      </x:c>
      <x:c r="G300" s="35" t="n">
        <x:v>0.196078431372549</x:v>
      </x:c>
      <x:c r="H300" s="33" t="n">
        <x:f>INDEX(Actividades!$I$6:$I$104,MATCH(A300,Actividades!$A$6:$A$104,0))</x:f>
        <x:v>0.595</x:v>
      </x:c>
      <x:c r="I300" s="33" t="n">
        <x:f>G300*H300</x:f>
        <x:v>0.11666666666666664</x:v>
      </x:c>
      <x:c r="J300" s="35"/>
      <x:c r="K300" s="33" t="str">
        <x:f>IF(ISNUMBER(J300),G300*J300,"")</x:f>
      </x:c>
      <x:c r="L300" s="33" t="str">
        <x:f>IF(ISNUMBER(J300),I300*J300,"")</x:f>
      </x:c>
      <x:c r="M300" s="36"/>
      <x:c r="N300" s="37"/>
      <x:c r="O300" s="37"/>
      <x:c r="P300" s="30" t="n">
        <x:f>IF(ISNUMBER(J300),0,1)</x:f>
        <x:v>1</x:v>
      </x:c>
    </x:row>
    <x:row r="301" ht="54" customHeight="1">
      <x:c r="A301" s="30" t="str">
        <x:v>P17 / C6-A4</x:v>
      </x:c>
      <x:c r="B301" s="30" t="str">
        <x:v>C6</x:v>
      </x:c>
      <x:c r="C301" s="30" t="str">
        <x:v>P17</x:v>
      </x:c>
      <x:c r="D301" s="30" t="str">
        <x:v>C6-A4</x:v>
      </x:c>
      <x:c r="E301" s="30" t="str">
        <x:v>Daniel González Montoya</x:v>
      </x:c>
      <x:c r="F301" s="30" t="str">
        <x:v>Apoyo técnico</x:v>
      </x:c>
      <x:c r="G301" s="35" t="n">
        <x:v>0.0980392156862745</x:v>
      </x:c>
      <x:c r="H301" s="33" t="n">
        <x:f>INDEX(Actividades!$I$6:$I$104,MATCH(A301,Actividades!$A$6:$A$104,0))</x:f>
        <x:v>0.595</x:v>
      </x:c>
      <x:c r="I301" s="33" t="n">
        <x:f>G301*H301</x:f>
        <x:v>0.05833333333333332</x:v>
      </x:c>
      <x:c r="J301" s="35"/>
      <x:c r="K301" s="33" t="str">
        <x:f>IF(ISNUMBER(J301),G301*J301,"")</x:f>
      </x:c>
      <x:c r="L301" s="33" t="str">
        <x:f>IF(ISNUMBER(J301),I301*J301,"")</x:f>
      </x:c>
      <x:c r="M301" s="36"/>
      <x:c r="N301" s="37"/>
      <x:c r="O301" s="37"/>
      <x:c r="P301" s="30" t="n">
        <x:f>IF(ISNUMBER(J301),0,1)</x:f>
        <x:v>1</x:v>
      </x:c>
    </x:row>
    <x:row r="302" ht="54" customHeight="1">
      <x:c r="A302" s="30" t="str">
        <x:v>P17 / C6-A4</x:v>
      </x:c>
      <x:c r="B302" s="30" t="str">
        <x:v>C6</x:v>
      </x:c>
      <x:c r="C302" s="30" t="str">
        <x:v>P17</x:v>
      </x:c>
      <x:c r="D302" s="30" t="str">
        <x:v>C6-A4</x:v>
      </x:c>
      <x:c r="E302" s="30" t="str">
        <x:v>Paola Andrea Ruiz Franco</x:v>
      </x:c>
      <x:c r="F302" s="30" t="str">
        <x:v>Coordinación técnica, integración y seguimiento</x:v>
      </x:c>
      <x:c r="G302" s="35" t="n">
        <x:v>0.11764705882352941</x:v>
      </x:c>
      <x:c r="H302" s="33" t="n">
        <x:f>INDEX(Actividades!$I$6:$I$104,MATCH(A302,Actividades!$A$6:$A$104,0))</x:f>
        <x:v>0.595</x:v>
      </x:c>
      <x:c r="I302" s="33" t="n">
        <x:f>G302*H302</x:f>
        <x:v>0.06999999999999999</x:v>
      </x:c>
      <x:c r="J302" s="35"/>
      <x:c r="K302" s="33" t="str">
        <x:f>IF(ISNUMBER(J302),G302*J302,"")</x:f>
      </x:c>
      <x:c r="L302" s="33" t="str">
        <x:f>IF(ISNUMBER(J302),I302*J302,"")</x:f>
      </x:c>
      <x:c r="M302" s="36"/>
      <x:c r="N302" s="37"/>
      <x:c r="O302" s="37"/>
      <x:c r="P302" s="30" t="n">
        <x:f>IF(ISNUMBER(J302),0,1)</x:f>
        <x:v>1</x:v>
      </x:c>
    </x:row>
    <x:row r="303" ht="54" customHeight="1">
      <x:c r="A303" s="30" t="str">
        <x:v>P17 / R01</x:v>
      </x:c>
      <x:c r="B303" s="30" t="str">
        <x:v>C6</x:v>
      </x:c>
      <x:c r="C303" s="30" t="str">
        <x:v>P17</x:v>
      </x:c>
      <x:c r="D303" s="30" t="str">
        <x:v>R01</x:v>
      </x:c>
      <x:c r="E303" s="30" t="str">
        <x:v>Guillermo Penagos</x:v>
      </x:c>
      <x:c r="F303" s="30" t="str">
        <x:v>Revisión técnica y cierre para envío a Secretaría</x:v>
      </x:c>
      <x:c r="G303" s="35" t="n">
        <x:v>0.5</x:v>
      </x:c>
      <x:c r="H303" s="33" t="n">
        <x:f>INDEX(Actividades!$I$6:$I$104,MATCH(A303,Actividades!$A$6:$A$104,0))</x:f>
        <x:v>0.1</x:v>
      </x:c>
      <x:c r="I303" s="33" t="n">
        <x:f>G303*H303</x:f>
        <x:v>0.05</x:v>
      </x:c>
      <x:c r="J303" s="35"/>
      <x:c r="K303" s="33" t="str">
        <x:f>IF(ISNUMBER(J303),G303*J303,"")</x:f>
      </x:c>
      <x:c r="L303" s="33" t="str">
        <x:f>IF(ISNUMBER(J303),I303*J303,"")</x:f>
      </x:c>
      <x:c r="M303" s="36"/>
      <x:c r="N303" s="37"/>
      <x:c r="O303" s="37"/>
      <x:c r="P303" s="30" t="n">
        <x:f>IF(ISNUMBER(J303),0,1)</x:f>
        <x:v>1</x:v>
      </x:c>
    </x:row>
    <x:row r="304" ht="54" customHeight="1">
      <x:c r="A304" s="30" t="str">
        <x:v>P17 / R01</x:v>
      </x:c>
      <x:c r="B304" s="30" t="str">
        <x:v>C6</x:v>
      </x:c>
      <x:c r="C304" s="30" t="str">
        <x:v>P17</x:v>
      </x:c>
      <x:c r="D304" s="30" t="str">
        <x:v>R01</x:v>
      </x:c>
      <x:c r="E304" s="30" t="str">
        <x:v>María José Suárez</x:v>
      </x:c>
      <x:c r="F304" s="30" t="str">
        <x:v>Revisión integral y cierre para envío a Secretaría</x:v>
      </x:c>
      <x:c r="G304" s="35" t="n">
        <x:v>0.5</x:v>
      </x:c>
      <x:c r="H304" s="33" t="n">
        <x:f>INDEX(Actividades!$I$6:$I$104,MATCH(A304,Actividades!$A$6:$A$104,0))</x:f>
        <x:v>0.1</x:v>
      </x:c>
      <x:c r="I304" s="33" t="n">
        <x:f>G304*H304</x:f>
        <x:v>0.05</x:v>
      </x:c>
      <x:c r="J304" s="35"/>
      <x:c r="K304" s="33" t="str">
        <x:f>IF(ISNUMBER(J304),G304*J304,"")</x:f>
      </x:c>
      <x:c r="L304" s="33" t="str">
        <x:f>IF(ISNUMBER(J304),I304*J304,"")</x:f>
      </x:c>
      <x:c r="M304" s="36"/>
      <x:c r="N304" s="37"/>
      <x:c r="O304" s="37"/>
      <x:c r="P304" s="30" t="n">
        <x:f>IF(ISNUMBER(J304),0,1)</x:f>
        <x:v>1</x:v>
      </x:c>
    </x:row>
    <x:row r="305" ht="54" customHeight="1">
      <x:c r="A305" s="30" t="str">
        <x:v>P17 / R02</x:v>
      </x:c>
      <x:c r="B305" s="30" t="str">
        <x:v>C6</x:v>
      </x:c>
      <x:c r="C305" s="30" t="str">
        <x:v>P17</x:v>
      </x:c>
      <x:c r="D305" s="30" t="str">
        <x:v>R02</x:v>
      </x:c>
      <x:c r="E305" s="30" t="str">
        <x:v>Juana — Secretaría de Medio Ambiente</x:v>
      </x:c>
      <x:c r="F305" s="30" t="str">
        <x:v>Validación y revisión final institucional</x:v>
      </x:c>
      <x:c r="G305" s="35" t="n">
        <x:v>1</x:v>
      </x:c>
      <x:c r="H305" s="33" t="n">
        <x:f>INDEX(Actividades!$I$6:$I$104,MATCH(A305,Actividades!$A$6:$A$104,0))</x:f>
        <x:v>0.05</x:v>
      </x:c>
      <x:c r="I305" s="33" t="n">
        <x:f>G305*H305</x:f>
        <x:v>0.05</x:v>
      </x:c>
      <x:c r="J305" s="35"/>
      <x:c r="K305" s="33" t="str">
        <x:f>IF(ISNUMBER(J305),G305*J305,"")</x:f>
      </x:c>
      <x:c r="L305" s="33" t="str">
        <x:f>IF(ISNUMBER(J305),I305*J305,"")</x:f>
      </x:c>
      <x:c r="M305" s="36"/>
      <x:c r="N305" s="37"/>
      <x:c r="O305" s="37"/>
      <x:c r="P305" s="30" t="n">
        <x:f>IF(ISNUMBER(J305),0,1)</x:f>
        <x:v>1</x:v>
      </x:c>
    </x:row>
    <x:row r="306" ht="54" customHeight="1">
      <x:c r="A306" s="30" t="str">
        <x:v>P18 / C6-A2</x:v>
      </x:c>
      <x:c r="B306" s="30" t="str">
        <x:v>C6</x:v>
      </x:c>
      <x:c r="C306" s="30" t="str">
        <x:v>P18</x:v>
      </x:c>
      <x:c r="D306" s="30" t="str">
        <x:v>C6-A2</x:v>
      </x:c>
      <x:c r="E306" s="30" t="str">
        <x:v>Juliana Valencia</x:v>
      </x:c>
      <x:c r="F306" s="30" t="str">
        <x:v>Elaboración técnica</x:v>
      </x:c>
      <x:c r="G306" s="35" t="n">
        <x:v>0.25210084033613445</x:v>
      </x:c>
      <x:c r="H306" s="33" t="n">
        <x:f>INDEX(Actividades!$I$6:$I$104,MATCH(A306,Actividades!$A$6:$A$104,0))</x:f>
        <x:v>0.17</x:v>
      </x:c>
      <x:c r="I306" s="33" t="n">
        <x:f>G306*H306</x:f>
        <x:v>0.04285714285714286</x:v>
      </x:c>
      <x:c r="J306" s="35"/>
      <x:c r="K306" s="33" t="str">
        <x:f>IF(ISNUMBER(J306),G306*J306,"")</x:f>
      </x:c>
      <x:c r="L306" s="33" t="str">
        <x:f>IF(ISNUMBER(J306),I306*J306,"")</x:f>
      </x:c>
      <x:c r="M306" s="36"/>
      <x:c r="N306" s="37"/>
      <x:c r="O306" s="37"/>
      <x:c r="P306" s="30" t="n">
        <x:f>IF(ISNUMBER(J306),0,1)</x:f>
        <x:v>1</x:v>
      </x:c>
    </x:row>
    <x:row r="307" ht="54" customHeight="1">
      <x:c r="A307" s="30" t="str">
        <x:v>P18 / C6-A2</x:v>
      </x:c>
      <x:c r="B307" s="30" t="str">
        <x:v>C6</x:v>
      </x:c>
      <x:c r="C307" s="30" t="str">
        <x:v>P18</x:v>
      </x:c>
      <x:c r="D307" s="30" t="str">
        <x:v>C6-A2</x:v>
      </x:c>
      <x:c r="E307" s="30" t="str">
        <x:v>Vanessa García Leoz</x:v>
      </x:c>
      <x:c r="F307" s="30" t="str">
        <x:v>Elaboración técnica</x:v>
      </x:c>
      <x:c r="G307" s="35" t="n">
        <x:v>0.25210084033613445</x:v>
      </x:c>
      <x:c r="H307" s="33" t="n">
        <x:f>INDEX(Actividades!$I$6:$I$104,MATCH(A307,Actividades!$A$6:$A$104,0))</x:f>
        <x:v>0.17</x:v>
      </x:c>
      <x:c r="I307" s="33" t="n">
        <x:f>G307*H307</x:f>
        <x:v>0.04285714285714286</x:v>
      </x:c>
      <x:c r="J307" s="35"/>
      <x:c r="K307" s="33" t="str">
        <x:f>IF(ISNUMBER(J307),G307*J307,"")</x:f>
      </x:c>
      <x:c r="L307" s="33" t="str">
        <x:f>IF(ISNUMBER(J307),I307*J307,"")</x:f>
      </x:c>
      <x:c r="M307" s="36"/>
      <x:c r="N307" s="37"/>
      <x:c r="O307" s="37"/>
      <x:c r="P307" s="30" t="n">
        <x:f>IF(ISNUMBER(J307),0,1)</x:f>
        <x:v>1</x:v>
      </x:c>
    </x:row>
    <x:row r="308" ht="54" customHeight="1">
      <x:c r="A308" s="30" t="str">
        <x:v>P18 / C6-A2</x:v>
      </x:c>
      <x:c r="B308" s="30" t="str">
        <x:v>C6</x:v>
      </x:c>
      <x:c r="C308" s="30" t="str">
        <x:v>P18</x:v>
      </x:c>
      <x:c r="D308" s="30" t="str">
        <x:v>C6-A2</x:v>
      </x:c>
      <x:c r="E308" s="30" t="str">
        <x:v>Sebastián Cartagena</x:v>
      </x:c>
      <x:c r="F308" s="30" t="str">
        <x:v>Elaboración técnica</x:v>
      </x:c>
      <x:c r="G308" s="35" t="n">
        <x:v>0.25210084033613445</x:v>
      </x:c>
      <x:c r="H308" s="33" t="n">
        <x:f>INDEX(Actividades!$I$6:$I$104,MATCH(A308,Actividades!$A$6:$A$104,0))</x:f>
        <x:v>0.17</x:v>
      </x:c>
      <x:c r="I308" s="33" t="n">
        <x:f>G308*H308</x:f>
        <x:v>0.04285714285714286</x:v>
      </x:c>
      <x:c r="J308" s="35"/>
      <x:c r="K308" s="33" t="str">
        <x:f>IF(ISNUMBER(J308),G308*J308,"")</x:f>
      </x:c>
      <x:c r="L308" s="33" t="str">
        <x:f>IF(ISNUMBER(J308),I308*J308,"")</x:f>
      </x:c>
      <x:c r="M308" s="36"/>
      <x:c r="N308" s="37"/>
      <x:c r="O308" s="37"/>
      <x:c r="P308" s="30" t="n">
        <x:f>IF(ISNUMBER(J308),0,1)</x:f>
        <x:v>1</x:v>
      </x:c>
    </x:row>
    <x:row r="309" ht="54" customHeight="1">
      <x:c r="A309" s="30" t="str">
        <x:v>P18 / C6-A2</x:v>
      </x:c>
      <x:c r="B309" s="30" t="str">
        <x:v>C6</x:v>
      </x:c>
      <x:c r="C309" s="30" t="str">
        <x:v>P18</x:v>
      </x:c>
      <x:c r="D309" s="30" t="str">
        <x:v>C6-A2</x:v>
      </x:c>
      <x:c r="E309" s="30" t="str">
        <x:v>Marcos Arango Tamayo</x:v>
      </x:c>
      <x:c r="F309" s="30" t="str">
        <x:v>Apoyo técnico</x:v>
      </x:c>
      <x:c r="G309" s="35" t="n">
        <x:v>0.12605042016806722</x:v>
      </x:c>
      <x:c r="H309" s="33" t="n">
        <x:f>INDEX(Actividades!$I$6:$I$104,MATCH(A309,Actividades!$A$6:$A$104,0))</x:f>
        <x:v>0.17</x:v>
      </x:c>
      <x:c r="I309" s="33" t="n">
        <x:f>G309*H309</x:f>
        <x:v>0.02142857142857143</x:v>
      </x:c>
      <x:c r="J309" s="35"/>
      <x:c r="K309" s="33" t="str">
        <x:f>IF(ISNUMBER(J309),G309*J309,"")</x:f>
      </x:c>
      <x:c r="L309" s="33" t="str">
        <x:f>IF(ISNUMBER(J309),I309*J309,"")</x:f>
      </x:c>
      <x:c r="M309" s="36"/>
      <x:c r="N309" s="37"/>
      <x:c r="O309" s="37"/>
      <x:c r="P309" s="30" t="n">
        <x:f>IF(ISNUMBER(J309),0,1)</x:f>
        <x:v>1</x:v>
      </x:c>
    </x:row>
    <x:row r="310" ht="54" customHeight="1">
      <x:c r="A310" s="30" t="str">
        <x:v>P18 / C6-A2</x:v>
      </x:c>
      <x:c r="B310" s="30" t="str">
        <x:v>C6</x:v>
      </x:c>
      <x:c r="C310" s="30" t="str">
        <x:v>P18</x:v>
      </x:c>
      <x:c r="D310" s="30" t="str">
        <x:v>C6-A2</x:v>
      </x:c>
      <x:c r="E310" s="30" t="str">
        <x:v>Paola Andrea Ruiz Franco</x:v>
      </x:c>
      <x:c r="F310" s="30" t="str">
        <x:v>Coordinación técnica, integración y seguimiento</x:v>
      </x:c>
      <x:c r="G310" s="35" t="n">
        <x:v>0.11764705882352941</x:v>
      </x:c>
      <x:c r="H310" s="33" t="n">
        <x:f>INDEX(Actividades!$I$6:$I$104,MATCH(A310,Actividades!$A$6:$A$104,0))</x:f>
        <x:v>0.17</x:v>
      </x:c>
      <x:c r="I310" s="33" t="n">
        <x:f>G310*H310</x:f>
        <x:v>0.02</x:v>
      </x:c>
      <x:c r="J310" s="35"/>
      <x:c r="K310" s="33" t="str">
        <x:f>IF(ISNUMBER(J310),G310*J310,"")</x:f>
      </x:c>
      <x:c r="L310" s="33" t="str">
        <x:f>IF(ISNUMBER(J310),I310*J310,"")</x:f>
      </x:c>
      <x:c r="M310" s="36"/>
      <x:c r="N310" s="37"/>
      <x:c r="O310" s="37"/>
      <x:c r="P310" s="30" t="n">
        <x:f>IF(ISNUMBER(J310),0,1)</x:f>
        <x:v>1</x:v>
      </x:c>
    </x:row>
    <x:row r="311" ht="54" customHeight="1">
      <x:c r="A311" s="30" t="str">
        <x:v>P18 / C6-A3</x:v>
      </x:c>
      <x:c r="B311" s="30" t="str">
        <x:v>C6</x:v>
      </x:c>
      <x:c r="C311" s="30" t="str">
        <x:v>P18</x:v>
      </x:c>
      <x:c r="D311" s="30" t="str">
        <x:v>C6-A3</x:v>
      </x:c>
      <x:c r="E311" s="30" t="str">
        <x:v>Juliana Valencia</x:v>
      </x:c>
      <x:c r="F311" s="30" t="str">
        <x:v>Elaboración técnica</x:v>
      </x:c>
      <x:c r="G311" s="35" t="n">
        <x:v>0.14705882352941177</x:v>
      </x:c>
      <x:c r="H311" s="33" t="n">
        <x:f>INDEX(Actividades!$I$6:$I$104,MATCH(A311,Actividades!$A$6:$A$104,0))</x:f>
        <x:v>0.425</x:v>
      </x:c>
      <x:c r="I311" s="33" t="n">
        <x:f>G311*H311</x:f>
        <x:v>0.0625</x:v>
      </x:c>
      <x:c r="J311" s="35"/>
      <x:c r="K311" s="33" t="str">
        <x:f>IF(ISNUMBER(J311),G311*J311,"")</x:f>
      </x:c>
      <x:c r="L311" s="33" t="str">
        <x:f>IF(ISNUMBER(J311),I311*J311,"")</x:f>
      </x:c>
      <x:c r="M311" s="36"/>
      <x:c r="N311" s="37"/>
      <x:c r="O311" s="37"/>
      <x:c r="P311" s="30" t="n">
        <x:f>IF(ISNUMBER(J311),0,1)</x:f>
        <x:v>1</x:v>
      </x:c>
    </x:row>
    <x:row r="312" ht="54" customHeight="1">
      <x:c r="A312" s="30" t="str">
        <x:v>P18 / C6-A3</x:v>
      </x:c>
      <x:c r="B312" s="30" t="str">
        <x:v>C6</x:v>
      </x:c>
      <x:c r="C312" s="30" t="str">
        <x:v>P18</x:v>
      </x:c>
      <x:c r="D312" s="30" t="str">
        <x:v>C6-A3</x:v>
      </x:c>
      <x:c r="E312" s="30" t="str">
        <x:v>Marcos Arango Tamayo</x:v>
      </x:c>
      <x:c r="F312" s="30" t="str">
        <x:v>Elaboración técnica</x:v>
      </x:c>
      <x:c r="G312" s="35" t="n">
        <x:v>0.14705882352941177</x:v>
      </x:c>
      <x:c r="H312" s="33" t="n">
        <x:f>INDEX(Actividades!$I$6:$I$104,MATCH(A312,Actividades!$A$6:$A$104,0))</x:f>
        <x:v>0.425</x:v>
      </x:c>
      <x:c r="I312" s="33" t="n">
        <x:f>G312*H312</x:f>
        <x:v>0.0625</x:v>
      </x:c>
      <x:c r="J312" s="35"/>
      <x:c r="K312" s="33" t="str">
        <x:f>IF(ISNUMBER(J312),G312*J312,"")</x:f>
      </x:c>
      <x:c r="L312" s="33" t="str">
        <x:f>IF(ISNUMBER(J312),I312*J312,"")</x:f>
      </x:c>
      <x:c r="M312" s="36"/>
      <x:c r="N312" s="37"/>
      <x:c r="O312" s="37"/>
      <x:c r="P312" s="30" t="n">
        <x:f>IF(ISNUMBER(J312),0,1)</x:f>
        <x:v>1</x:v>
      </x:c>
    </x:row>
    <x:row r="313" ht="54" customHeight="1">
      <x:c r="A313" s="30" t="str">
        <x:v>P18 / C6-A3</x:v>
      </x:c>
      <x:c r="B313" s="30" t="str">
        <x:v>C6</x:v>
      </x:c>
      <x:c r="C313" s="30" t="str">
        <x:v>P18</x:v>
      </x:c>
      <x:c r="D313" s="30" t="str">
        <x:v>C6-A3</x:v>
      </x:c>
      <x:c r="E313" s="30" t="str">
        <x:v>Vanessa García Leoz</x:v>
      </x:c>
      <x:c r="F313" s="30" t="str">
        <x:v>Elaboración técnica</x:v>
      </x:c>
      <x:c r="G313" s="35" t="n">
        <x:v>0.14705882352941177</x:v>
      </x:c>
      <x:c r="H313" s="33" t="n">
        <x:f>INDEX(Actividades!$I$6:$I$104,MATCH(A313,Actividades!$A$6:$A$104,0))</x:f>
        <x:v>0.425</x:v>
      </x:c>
      <x:c r="I313" s="33" t="n">
        <x:f>G313*H313</x:f>
        <x:v>0.0625</x:v>
      </x:c>
      <x:c r="J313" s="35"/>
      <x:c r="K313" s="33" t="str">
        <x:f>IF(ISNUMBER(J313),G313*J313,"")</x:f>
      </x:c>
      <x:c r="L313" s="33" t="str">
        <x:f>IF(ISNUMBER(J313),I313*J313,"")</x:f>
      </x:c>
      <x:c r="M313" s="36"/>
      <x:c r="N313" s="37"/>
      <x:c r="O313" s="37"/>
      <x:c r="P313" s="30" t="n">
        <x:f>IF(ISNUMBER(J313),0,1)</x:f>
        <x:v>1</x:v>
      </x:c>
    </x:row>
    <x:row r="314" ht="54" customHeight="1">
      <x:c r="A314" s="30" t="str">
        <x:v>P18 / C6-A3</x:v>
      </x:c>
      <x:c r="B314" s="30" t="str">
        <x:v>C6</x:v>
      </x:c>
      <x:c r="C314" s="30" t="str">
        <x:v>P18</x:v>
      </x:c>
      <x:c r="D314" s="30" t="str">
        <x:v>C6-A3</x:v>
      </x:c>
      <x:c r="E314" s="30" t="str">
        <x:v>Liliana Restrepo</x:v>
      </x:c>
      <x:c r="F314" s="30" t="str">
        <x:v>Elaboración técnica</x:v>
      </x:c>
      <x:c r="G314" s="35" t="n">
        <x:v>0.14705882352941177</x:v>
      </x:c>
      <x:c r="H314" s="33" t="n">
        <x:f>INDEX(Actividades!$I$6:$I$104,MATCH(A314,Actividades!$A$6:$A$104,0))</x:f>
        <x:v>0.425</x:v>
      </x:c>
      <x:c r="I314" s="33" t="n">
        <x:f>G314*H314</x:f>
        <x:v>0.0625</x:v>
      </x:c>
      <x:c r="J314" s="35"/>
      <x:c r="K314" s="33" t="str">
        <x:f>IF(ISNUMBER(J314),G314*J314,"")</x:f>
      </x:c>
      <x:c r="L314" s="33" t="str">
        <x:f>IF(ISNUMBER(J314),I314*J314,"")</x:f>
      </x:c>
      <x:c r="M314" s="36"/>
      <x:c r="N314" s="37"/>
      <x:c r="O314" s="37"/>
      <x:c r="P314" s="30" t="n">
        <x:f>IF(ISNUMBER(J314),0,1)</x:f>
        <x:v>1</x:v>
      </x:c>
    </x:row>
    <x:row r="315" ht="54" customHeight="1">
      <x:c r="A315" s="30" t="str">
        <x:v>P18 / C6-A3</x:v>
      </x:c>
      <x:c r="B315" s="30" t="str">
        <x:v>C6</x:v>
      </x:c>
      <x:c r="C315" s="30" t="str">
        <x:v>P18</x:v>
      </x:c>
      <x:c r="D315" s="30" t="str">
        <x:v>C6-A3</x:v>
      </x:c>
      <x:c r="E315" s="30" t="str">
        <x:v>Curaduría Museo</x:v>
      </x:c>
      <x:c r="F315" s="30" t="str">
        <x:v>Corresponsable de apropiación social y divulgación</x:v>
      </x:c>
      <x:c r="G315" s="35" t="n">
        <x:v>0.14705882352941177</x:v>
      </x:c>
      <x:c r="H315" s="33" t="n">
        <x:f>INDEX(Actividades!$I$6:$I$104,MATCH(A315,Actividades!$A$6:$A$104,0))</x:f>
        <x:v>0.425</x:v>
      </x:c>
      <x:c r="I315" s="33" t="n">
        <x:f>G315*H315</x:f>
        <x:v>0.0625</x:v>
      </x:c>
      <x:c r="J315" s="35"/>
      <x:c r="K315" s="33" t="str">
        <x:f>IF(ISNUMBER(J315),G315*J315,"")</x:f>
      </x:c>
      <x:c r="L315" s="33" t="str">
        <x:f>IF(ISNUMBER(J315),I315*J315,"")</x:f>
      </x:c>
      <x:c r="M315" s="36"/>
      <x:c r="N315" s="37"/>
      <x:c r="O315" s="37"/>
      <x:c r="P315" s="30" t="n">
        <x:f>IF(ISNUMBER(J315),0,1)</x:f>
        <x:v>1</x:v>
      </x:c>
    </x:row>
    <x:row r="316" ht="54" customHeight="1">
      <x:c r="A316" s="30" t="str">
        <x:v>P18 / C6-A3</x:v>
      </x:c>
      <x:c r="B316" s="30" t="str">
        <x:v>C6</x:v>
      </x:c>
      <x:c r="C316" s="30" t="str">
        <x:v>P18</x:v>
      </x:c>
      <x:c r="D316" s="30" t="str">
        <x:v>C6-A3</x:v>
      </x:c>
      <x:c r="E316" s="30" t="str">
        <x:v>Jeiner de Jesús Castellanos Barliza</x:v>
      </x:c>
      <x:c r="F316" s="30" t="str">
        <x:v>Apoyo técnico</x:v>
      </x:c>
      <x:c r="G316" s="35" t="n">
        <x:v>0.07352941176470588</x:v>
      </x:c>
      <x:c r="H316" s="33" t="n">
        <x:f>INDEX(Actividades!$I$6:$I$104,MATCH(A316,Actividades!$A$6:$A$104,0))</x:f>
        <x:v>0.425</x:v>
      </x:c>
      <x:c r="I316" s="33" t="n">
        <x:f>G316*H316</x:f>
        <x:v>0.03125</x:v>
      </x:c>
      <x:c r="J316" s="35"/>
      <x:c r="K316" s="33" t="str">
        <x:f>IF(ISNUMBER(J316),G316*J316,"")</x:f>
      </x:c>
      <x:c r="L316" s="33" t="str">
        <x:f>IF(ISNUMBER(J316),I316*J316,"")</x:f>
      </x:c>
      <x:c r="M316" s="36"/>
      <x:c r="N316" s="37"/>
      <x:c r="O316" s="37"/>
      <x:c r="P316" s="30" t="n">
        <x:f>IF(ISNUMBER(J316),0,1)</x:f>
        <x:v>1</x:v>
      </x:c>
    </x:row>
    <x:row r="317" ht="54" customHeight="1">
      <x:c r="A317" s="30" t="str">
        <x:v>P18 / C6-A3</x:v>
      </x:c>
      <x:c r="B317" s="30" t="str">
        <x:v>C6</x:v>
      </x:c>
      <x:c r="C317" s="30" t="str">
        <x:v>P18</x:v>
      </x:c>
      <x:c r="D317" s="30" t="str">
        <x:v>C6-A3</x:v>
      </x:c>
      <x:c r="E317" s="30" t="str">
        <x:v>Sebastián Cartagena</x:v>
      </x:c>
      <x:c r="F317" s="30" t="str">
        <x:v>Apoyo técnico</x:v>
      </x:c>
      <x:c r="G317" s="35" t="n">
        <x:v>0.07352941176470588</x:v>
      </x:c>
      <x:c r="H317" s="33" t="n">
        <x:f>INDEX(Actividades!$I$6:$I$104,MATCH(A317,Actividades!$A$6:$A$104,0))</x:f>
        <x:v>0.425</x:v>
      </x:c>
      <x:c r="I317" s="33" t="n">
        <x:f>G317*H317</x:f>
        <x:v>0.03125</x:v>
      </x:c>
      <x:c r="J317" s="35"/>
      <x:c r="K317" s="33" t="str">
        <x:f>IF(ISNUMBER(J317),G317*J317,"")</x:f>
      </x:c>
      <x:c r="L317" s="33" t="str">
        <x:f>IF(ISNUMBER(J317),I317*J317,"")</x:f>
      </x:c>
      <x:c r="M317" s="36"/>
      <x:c r="N317" s="37"/>
      <x:c r="O317" s="37"/>
      <x:c r="P317" s="30" t="n">
        <x:f>IF(ISNUMBER(J317),0,1)</x:f>
        <x:v>1</x:v>
      </x:c>
    </x:row>
    <x:row r="318" ht="54" customHeight="1">
      <x:c r="A318" s="30" t="str">
        <x:v>P18 / C6-A3</x:v>
      </x:c>
      <x:c r="B318" s="30" t="str">
        <x:v>C6</x:v>
      </x:c>
      <x:c r="C318" s="30" t="str">
        <x:v>P18</x:v>
      </x:c>
      <x:c r="D318" s="30" t="str">
        <x:v>C6-A3</x:v>
      </x:c>
      <x:c r="E318" s="30" t="str">
        <x:v>Paola Andrea Ruiz Franco</x:v>
      </x:c>
      <x:c r="F318" s="30" t="str">
        <x:v>Coordinación técnica, integración y seguimiento</x:v>
      </x:c>
      <x:c r="G318" s="35" t="n">
        <x:v>0.11764705882352941</x:v>
      </x:c>
      <x:c r="H318" s="33" t="n">
        <x:f>INDEX(Actividades!$I$6:$I$104,MATCH(A318,Actividades!$A$6:$A$104,0))</x:f>
        <x:v>0.425</x:v>
      </x:c>
      <x:c r="I318" s="33" t="n">
        <x:f>G318*H318</x:f>
        <x:v>0.049999999999999996</x:v>
      </x:c>
      <x:c r="J318" s="35"/>
      <x:c r="K318" s="33" t="str">
        <x:f>IF(ISNUMBER(J318),G318*J318,"")</x:f>
      </x:c>
      <x:c r="L318" s="33" t="str">
        <x:f>IF(ISNUMBER(J318),I318*J318,"")</x:f>
      </x:c>
      <x:c r="M318" s="36"/>
      <x:c r="N318" s="37"/>
      <x:c r="O318" s="37"/>
      <x:c r="P318" s="30" t="n">
        <x:f>IF(ISNUMBER(J318),0,1)</x:f>
        <x:v>1</x:v>
      </x:c>
    </x:row>
    <x:row r="319" ht="54" customHeight="1">
      <x:c r="A319" s="30" t="str">
        <x:v>P18 / C6-A4</x:v>
      </x:c>
      <x:c r="B319" s="30" t="str">
        <x:v>C6</x:v>
      </x:c>
      <x:c r="C319" s="30" t="str">
        <x:v>P18</x:v>
      </x:c>
      <x:c r="D319" s="30" t="str">
        <x:v>C6-A4</x:v>
      </x:c>
      <x:c r="E319" s="30" t="str">
        <x:v>Sebastián Cartagena</x:v>
      </x:c>
      <x:c r="F319" s="30" t="str">
        <x:v>Elaboración técnica</x:v>
      </x:c>
      <x:c r="G319" s="35" t="n">
        <x:v>0.35294117647058826</x:v>
      </x:c>
      <x:c r="H319" s="33" t="n">
        <x:f>INDEX(Actividades!$I$6:$I$104,MATCH(A319,Actividades!$A$6:$A$104,0))</x:f>
        <x:v>0.255</x:v>
      </x:c>
      <x:c r="I319" s="33" t="n">
        <x:f>G319*H319</x:f>
        <x:v>0.09000000000000001</x:v>
      </x:c>
      <x:c r="J319" s="35"/>
      <x:c r="K319" s="33" t="str">
        <x:f>IF(ISNUMBER(J319),G319*J319,"")</x:f>
      </x:c>
      <x:c r="L319" s="33" t="str">
        <x:f>IF(ISNUMBER(J319),I319*J319,"")</x:f>
      </x:c>
      <x:c r="M319" s="36"/>
      <x:c r="N319" s="37"/>
      <x:c r="O319" s="37"/>
      <x:c r="P319" s="30" t="n">
        <x:f>IF(ISNUMBER(J319),0,1)</x:f>
        <x:v>1</x:v>
      </x:c>
    </x:row>
    <x:row r="320" ht="54" customHeight="1">
      <x:c r="A320" s="30" t="str">
        <x:v>P18 / C6-A4</x:v>
      </x:c>
      <x:c r="B320" s="30" t="str">
        <x:v>C6</x:v>
      </x:c>
      <x:c r="C320" s="30" t="str">
        <x:v>P18</x:v>
      </x:c>
      <x:c r="D320" s="30" t="str">
        <x:v>C6-A4</x:v>
      </x:c>
      <x:c r="E320" s="30" t="str">
        <x:v>Curaduría Museo</x:v>
      </x:c>
      <x:c r="F320" s="30" t="str">
        <x:v>Corresponsable de apropiación social y divulgación</x:v>
      </x:c>
      <x:c r="G320" s="35" t="n">
        <x:v>0.35294117647058826</x:v>
      </x:c>
      <x:c r="H320" s="33" t="n">
        <x:f>INDEX(Actividades!$I$6:$I$104,MATCH(A320,Actividades!$A$6:$A$104,0))</x:f>
        <x:v>0.255</x:v>
      </x:c>
      <x:c r="I320" s="33" t="n">
        <x:f>G320*H320</x:f>
        <x:v>0.09000000000000001</x:v>
      </x:c>
      <x:c r="J320" s="35"/>
      <x:c r="K320" s="33" t="str">
        <x:f>IF(ISNUMBER(J320),G320*J320,"")</x:f>
      </x:c>
      <x:c r="L320" s="33" t="str">
        <x:f>IF(ISNUMBER(J320),I320*J320,"")</x:f>
      </x:c>
      <x:c r="M320" s="36"/>
      <x:c r="N320" s="37"/>
      <x:c r="O320" s="37"/>
      <x:c r="P320" s="30" t="n">
        <x:f>IF(ISNUMBER(J320),0,1)</x:f>
        <x:v>1</x:v>
      </x:c>
    </x:row>
    <x:row r="321" ht="54" customHeight="1">
      <x:c r="A321" s="30" t="str">
        <x:v>P18 / C6-A4</x:v>
      </x:c>
      <x:c r="B321" s="30" t="str">
        <x:v>C6</x:v>
      </x:c>
      <x:c r="C321" s="30" t="str">
        <x:v>P18</x:v>
      </x:c>
      <x:c r="D321" s="30" t="str">
        <x:v>C6-A4</x:v>
      </x:c>
      <x:c r="E321" s="30" t="str">
        <x:v>Juliana Valencia</x:v>
      </x:c>
      <x:c r="F321" s="30" t="str">
        <x:v>Apoyo técnico</x:v>
      </x:c>
      <x:c r="G321" s="35" t="n">
        <x:v>0.17647058823529413</x:v>
      </x:c>
      <x:c r="H321" s="33" t="n">
        <x:f>INDEX(Actividades!$I$6:$I$104,MATCH(A321,Actividades!$A$6:$A$104,0))</x:f>
        <x:v>0.255</x:v>
      </x:c>
      <x:c r="I321" s="33" t="n">
        <x:f>G321*H321</x:f>
        <x:v>0.045000000000000005</x:v>
      </x:c>
      <x:c r="J321" s="35"/>
      <x:c r="K321" s="33" t="str">
        <x:f>IF(ISNUMBER(J321),G321*J321,"")</x:f>
      </x:c>
      <x:c r="L321" s="33" t="str">
        <x:f>IF(ISNUMBER(J321),I321*J321,"")</x:f>
      </x:c>
      <x:c r="M321" s="36"/>
      <x:c r="N321" s="37"/>
      <x:c r="O321" s="37"/>
      <x:c r="P321" s="30" t="n">
        <x:f>IF(ISNUMBER(J321),0,1)</x:f>
        <x:v>1</x:v>
      </x:c>
    </x:row>
    <x:row r="322" ht="54" customHeight="1">
      <x:c r="A322" s="30" t="str">
        <x:v>P18 / C6-A4</x:v>
      </x:c>
      <x:c r="B322" s="30" t="str">
        <x:v>C6</x:v>
      </x:c>
      <x:c r="C322" s="30" t="str">
        <x:v>P18</x:v>
      </x:c>
      <x:c r="D322" s="30" t="str">
        <x:v>C6-A4</x:v>
      </x:c>
      <x:c r="E322" s="30" t="str">
        <x:v>Paola Andrea Ruiz Franco</x:v>
      </x:c>
      <x:c r="F322" s="30" t="str">
        <x:v>Coordinación técnica, integración y seguimiento</x:v>
      </x:c>
      <x:c r="G322" s="35" t="n">
        <x:v>0.11764705882352941</x:v>
      </x:c>
      <x:c r="H322" s="33" t="n">
        <x:f>INDEX(Actividades!$I$6:$I$104,MATCH(A322,Actividades!$A$6:$A$104,0))</x:f>
        <x:v>0.255</x:v>
      </x:c>
      <x:c r="I322" s="33" t="n">
        <x:f>G322*H322</x:f>
        <x:v>0.03</x:v>
      </x:c>
      <x:c r="J322" s="35"/>
      <x:c r="K322" s="33" t="str">
        <x:f>IF(ISNUMBER(J322),G322*J322,"")</x:f>
      </x:c>
      <x:c r="L322" s="33" t="str">
        <x:f>IF(ISNUMBER(J322),I322*J322,"")</x:f>
      </x:c>
      <x:c r="M322" s="36"/>
      <x:c r="N322" s="37"/>
      <x:c r="O322" s="37"/>
      <x:c r="P322" s="30" t="n">
        <x:f>IF(ISNUMBER(J322),0,1)</x:f>
        <x:v>1</x:v>
      </x:c>
    </x:row>
    <x:row r="323" ht="54" customHeight="1">
      <x:c r="A323" s="30" t="str">
        <x:v>P18 / R01</x:v>
      </x:c>
      <x:c r="B323" s="30" t="str">
        <x:v>C6</x:v>
      </x:c>
      <x:c r="C323" s="30" t="str">
        <x:v>P18</x:v>
      </x:c>
      <x:c r="D323" s="30" t="str">
        <x:v>R01</x:v>
      </x:c>
      <x:c r="E323" s="30" t="str">
        <x:v>Guillermo Penagos</x:v>
      </x:c>
      <x:c r="F323" s="30" t="str">
        <x:v>Revisión técnica y cierre para envío a Secretaría</x:v>
      </x:c>
      <x:c r="G323" s="35" t="n">
        <x:v>0.5</x:v>
      </x:c>
      <x:c r="H323" s="33" t="n">
        <x:f>INDEX(Actividades!$I$6:$I$104,MATCH(A323,Actividades!$A$6:$A$104,0))</x:f>
        <x:v>0.1</x:v>
      </x:c>
      <x:c r="I323" s="33" t="n">
        <x:f>G323*H323</x:f>
        <x:v>0.05</x:v>
      </x:c>
      <x:c r="J323" s="35"/>
      <x:c r="K323" s="33" t="str">
        <x:f>IF(ISNUMBER(J323),G323*J323,"")</x:f>
      </x:c>
      <x:c r="L323" s="33" t="str">
        <x:f>IF(ISNUMBER(J323),I323*J323,"")</x:f>
      </x:c>
      <x:c r="M323" s="36"/>
      <x:c r="N323" s="37"/>
      <x:c r="O323" s="37"/>
      <x:c r="P323" s="30" t="n">
        <x:f>IF(ISNUMBER(J323),0,1)</x:f>
        <x:v>1</x:v>
      </x:c>
    </x:row>
    <x:row r="324" ht="54" customHeight="1">
      <x:c r="A324" s="30" t="str">
        <x:v>P18 / R01</x:v>
      </x:c>
      <x:c r="B324" s="30" t="str">
        <x:v>C6</x:v>
      </x:c>
      <x:c r="C324" s="30" t="str">
        <x:v>P18</x:v>
      </x:c>
      <x:c r="D324" s="30" t="str">
        <x:v>R01</x:v>
      </x:c>
      <x:c r="E324" s="30" t="str">
        <x:v>María José Suárez</x:v>
      </x:c>
      <x:c r="F324" s="30" t="str">
        <x:v>Revisión integral y cierre para envío a Secretaría</x:v>
      </x:c>
      <x:c r="G324" s="35" t="n">
        <x:v>0.5</x:v>
      </x:c>
      <x:c r="H324" s="33" t="n">
        <x:f>INDEX(Actividades!$I$6:$I$104,MATCH(A324,Actividades!$A$6:$A$104,0))</x:f>
        <x:v>0.1</x:v>
      </x:c>
      <x:c r="I324" s="33" t="n">
        <x:f>G324*H324</x:f>
        <x:v>0.05</x:v>
      </x:c>
      <x:c r="J324" s="35"/>
      <x:c r="K324" s="33" t="str">
        <x:f>IF(ISNUMBER(J324),G324*J324,"")</x:f>
      </x:c>
      <x:c r="L324" s="33" t="str">
        <x:f>IF(ISNUMBER(J324),I324*J324,"")</x:f>
      </x:c>
      <x:c r="M324" s="36"/>
      <x:c r="N324" s="37"/>
      <x:c r="O324" s="37"/>
      <x:c r="P324" s="30" t="n">
        <x:f>IF(ISNUMBER(J324),0,1)</x:f>
        <x:v>1</x:v>
      </x:c>
    </x:row>
    <x:row r="325" ht="54" customHeight="1">
      <x:c r="A325" s="30" t="str">
        <x:v>P18 / R02</x:v>
      </x:c>
      <x:c r="B325" s="30" t="str">
        <x:v>C6</x:v>
      </x:c>
      <x:c r="C325" s="30" t="str">
        <x:v>P18</x:v>
      </x:c>
      <x:c r="D325" s="30" t="str">
        <x:v>R02</x:v>
      </x:c>
      <x:c r="E325" s="30" t="str">
        <x:v>Juana — Secretaría de Medio Ambiente</x:v>
      </x:c>
      <x:c r="F325" s="30" t="str">
        <x:v>Validación y revisión final institucional</x:v>
      </x:c>
      <x:c r="G325" s="35" t="n">
        <x:v>1</x:v>
      </x:c>
      <x:c r="H325" s="33" t="n">
        <x:f>INDEX(Actividades!$I$6:$I$104,MATCH(A325,Actividades!$A$6:$A$104,0))</x:f>
        <x:v>0.05</x:v>
      </x:c>
      <x:c r="I325" s="33" t="n">
        <x:f>G325*H325</x:f>
        <x:v>0.05</x:v>
      </x:c>
      <x:c r="J325" s="35"/>
      <x:c r="K325" s="33" t="str">
        <x:f>IF(ISNUMBER(J325),G325*J325,"")</x:f>
      </x:c>
      <x:c r="L325" s="33" t="str">
        <x:f>IF(ISNUMBER(J325),I325*J325,"")</x:f>
      </x:c>
      <x:c r="M325" s="36"/>
      <x:c r="N325" s="37"/>
      <x:c r="O325" s="37"/>
      <x:c r="P325" s="30" t="n">
        <x:f>IF(ISNUMBER(J325),0,1)</x:f>
        <x:v>1</x:v>
      </x:c>
    </x:row>
  </x:sheetData>
  <x:dataValidations count="2">
    <x:dataValidation type="decimal" operator="between" sqref="G6:G325">
      <x:formula1>0</x:formula1>
      <x:formula2>1</x:formula2>
    </x:dataValidation>
    <x:dataValidation type="decimal" operator="between" sqref="J6:J325">
      <x:formula1>0</x:formula1>
      <x:formula2>1</x:formula2>
    </x:dataValidation>
  </x:dataValidations>
  <x:pageMargins left="0.7" right="0.7" top="0.75" bottom="0.75" header="0.3" footer="0.3"/>
  <x:tableParts count="1">
    <x:tablePart xmlns:r="http://schemas.openxmlformats.org/officeDocument/2006/relationships" r:id="Rbf37a7f603a54e98"/>
  </x:tableParts>
</x:worksheet>
</file>

<file path=xl/worksheets/sheet6.xml><?xml version="1.0" encoding="utf-8"?>
<x:worksheet xmlns:x="http://schemas.openxmlformats.org/spreadsheetml/2006/main">
  <x:sheetViews>
    <x:sheetView showGridLines="0" workbookViewId="0">
      <x:pane ySplit="5" topLeftCell="A6" activePane="bottomLeft" state="frozen"/>
    </x:sheetView>
  </x:sheetViews>
  <x:sheetFormatPr defaultRowHeight="15"/>
  <x:cols>
    <x:col min="1" max="1" width="18" hidden="0" customWidth="1"/>
    <x:col min="2" max="2" width="18" hidden="0" customWidth="1"/>
    <x:col min="3" max="3" width="47" hidden="0" customWidth="1"/>
    <x:col min="4" max="4" width="24" hidden="0" customWidth="1"/>
  </x:cols>
  <x:sheetData>
    <x:row r="1">
      <x:c r="A1" s="27"/>
      <x:c r="B1" s="27"/>
      <x:c r="C1" s="27"/>
      <x:c r="D1" s="27"/>
    </x:row>
    <x:row r="2">
      <x:c r="A2" s="38" t="str">
        <x:v>Peso total de cada persona por entregable</x:v>
      </x:c>
      <x:c r="B2" s="27"/>
      <x:c r="C2" s="27"/>
      <x:c r="D2" s="27"/>
    </x:row>
    <x:row r="3">
      <x:c r="A3" s="27" t="str">
        <x:v>Resumen calculado desde Asignaciones. Filtrar un entregable para revisar su distribución completa.</x:v>
      </x:c>
      <x:c r="B3" s="27"/>
      <x:c r="C3" s="27"/>
      <x:c r="D3" s="27"/>
    </x:row>
    <x:row r="4">
      <x:c r="A4" s="27"/>
      <x:c r="B4" s="27"/>
      <x:c r="C4" s="27"/>
      <x:c r="D4" s="27"/>
    </x:row>
    <x:row r="5" ht="32" customHeight="1">
      <x:c r="A5" s="40" t="str">
        <x:v>Componente</x:v>
      </x:c>
      <x:c r="B5" s="40" t="str">
        <x:v>Entregable</x:v>
      </x:c>
      <x:c r="C5" s="40" t="str">
        <x:v>Persona / equipo</x:v>
      </x:c>
      <x:c r="D5" s="40" t="str">
        <x:v>Peso en entregable</x:v>
      </x:c>
    </x:row>
    <x:row r="6" ht="27" customHeight="1">
      <x:c r="A6" s="27" t="str">
        <x:v>C1</x:v>
      </x:c>
      <x:c r="B6" s="27" t="str">
        <x:v>P1</x:v>
      </x:c>
      <x:c r="C6" s="27" t="str">
        <x:v>María José Suárez</x:v>
      </x:c>
      <x:c r="D6" s="41" t="n">
        <x:f>SUMIFS(Asignaciones!$I$6:$I$325,Asignaciones!$C$6:$C$325,B6,Asignaciones!$E$6:$E$325,C6)</x:f>
        <x:v>0.05</x:v>
      </x:c>
    </x:row>
    <x:row r="7" ht="27" customHeight="1">
      <x:c r="A7" s="27" t="str">
        <x:v>C1</x:v>
      </x:c>
      <x:c r="B7" s="27" t="str">
        <x:v>P1</x:v>
      </x:c>
      <x:c r="C7" s="27" t="str">
        <x:v>Paola Andrea Ruiz Franco</x:v>
      </x:c>
      <x:c r="D7" s="41" t="n">
        <x:f>SUMIFS(Asignaciones!$I$6:$I$325,Asignaciones!$C$6:$C$325,B7,Asignaciones!$E$6:$E$325,C7)</x:f>
        <x:v>0.1</x:v>
      </x:c>
    </x:row>
    <x:row r="8" ht="27" customHeight="1">
      <x:c r="A8" s="27" t="str">
        <x:v>C1</x:v>
      </x:c>
      <x:c r="B8" s="27" t="str">
        <x:v>P1</x:v>
      </x:c>
      <x:c r="C8" s="27" t="str">
        <x:v>Juliana Valencia</x:v>
      </x:c>
      <x:c r="D8" s="41" t="n">
        <x:f>SUMIFS(Asignaciones!$I$6:$I$325,Asignaciones!$C$6:$C$325,B8,Asignaciones!$E$6:$E$325,C8)</x:f>
        <x:v>0.15749999999999997</x:v>
      </x:c>
    </x:row>
    <x:row r="9" ht="27" customHeight="1">
      <x:c r="A9" s="27" t="str">
        <x:v>C1</x:v>
      </x:c>
      <x:c r="B9" s="27" t="str">
        <x:v>P1</x:v>
      </x:c>
      <x:c r="C9" s="27" t="str">
        <x:v>Jeiner de Jesús Castellanos Barliza</x:v>
      </x:c>
      <x:c r="D9" s="41" t="n">
        <x:f>SUMIFS(Asignaciones!$I$6:$I$325,Asignaciones!$C$6:$C$325,B9,Asignaciones!$E$6:$E$325,C9)</x:f>
        <x:v>0.07499999999999998</x:v>
      </x:c>
    </x:row>
    <x:row r="10" ht="27" customHeight="1">
      <x:c r="A10" s="27" t="str">
        <x:v>C1</x:v>
      </x:c>
      <x:c r="B10" s="27" t="str">
        <x:v>P1</x:v>
      </x:c>
      <x:c r="C10" s="27" t="str">
        <x:v>Marcos Arango Tamayo</x:v>
      </x:c>
      <x:c r="D10" s="41" t="n">
        <x:f>SUMIFS(Asignaciones!$I$6:$I$325,Asignaciones!$C$6:$C$325,B10,Asignaciones!$E$6:$E$325,C10)</x:f>
        <x:v>0.24</x:v>
      </x:c>
    </x:row>
    <x:row r="11" ht="27" customHeight="1">
      <x:c r="A11" s="27" t="str">
        <x:v>C1</x:v>
      </x:c>
      <x:c r="B11" s="27" t="str">
        <x:v>P1</x:v>
      </x:c>
      <x:c r="C11" s="27" t="str">
        <x:v>Harlem Acevedo Agudelo</x:v>
      </x:c>
      <x:c r="D11" s="41" t="n">
        <x:f>SUMIFS(Asignaciones!$I$6:$I$325,Asignaciones!$C$6:$C$325,B11,Asignaciones!$E$6:$E$325,C11)</x:f>
        <x:v>0.03749999999999999</x:v>
      </x:c>
    </x:row>
    <x:row r="12" ht="27" customHeight="1">
      <x:c r="A12" s="27" t="str">
        <x:v>C1</x:v>
      </x:c>
      <x:c r="B12" s="27" t="str">
        <x:v>P1</x:v>
      </x:c>
      <x:c r="C12" s="27" t="str">
        <x:v>Vanessa García Leoz</x:v>
      </x:c>
      <x:c r="D12" s="41" t="n">
        <x:f>SUMIFS(Asignaciones!$I$6:$I$325,Asignaciones!$C$6:$C$325,B12,Asignaciones!$E$6:$E$325,C12)</x:f>
        <x:v>0.07499999999999998</x:v>
      </x:c>
    </x:row>
    <x:row r="13" ht="27" customHeight="1">
      <x:c r="A13" s="27" t="str">
        <x:v>C1</x:v>
      </x:c>
      <x:c r="B13" s="27" t="str">
        <x:v>P1</x:v>
      </x:c>
      <x:c r="C13" s="27" t="str">
        <x:v>Guillermo Penagos</x:v>
      </x:c>
      <x:c r="D13" s="41" t="n">
        <x:f>SUMIFS(Asignaciones!$I$6:$I$325,Asignaciones!$C$6:$C$325,B13,Asignaciones!$E$6:$E$325,C13)</x:f>
        <x:v>0.05</x:v>
      </x:c>
    </x:row>
    <x:row r="14" ht="27" customHeight="1">
      <x:c r="A14" s="27" t="str">
        <x:v>C1</x:v>
      </x:c>
      <x:c r="B14" s="27" t="str">
        <x:v>P1</x:v>
      </x:c>
      <x:c r="C14" s="27" t="str">
        <x:v>Sebastián Cartagena</x:v>
      </x:c>
      <x:c r="D14" s="41" t="n">
        <x:f>SUMIFS(Asignaciones!$I$6:$I$325,Asignaciones!$C$6:$C$325,B14,Asignaciones!$E$6:$E$325,C14)</x:f>
        <x:v>0.165</x:v>
      </x:c>
    </x:row>
    <x:row r="15" ht="27" customHeight="1">
      <x:c r="A15" s="27" t="str">
        <x:v>C1</x:v>
      </x:c>
      <x:c r="B15" s="27" t="str">
        <x:v>P1</x:v>
      </x:c>
      <x:c r="C15" s="27" t="str">
        <x:v>Juana — Secretaría de Medio Ambiente</x:v>
      </x:c>
      <x:c r="D15" s="41" t="n">
        <x:f>SUMIFS(Asignaciones!$I$6:$I$325,Asignaciones!$C$6:$C$325,B15,Asignaciones!$E$6:$E$325,C15)</x:f>
        <x:v>0.05</x:v>
      </x:c>
    </x:row>
    <x:row r="16" ht="27" customHeight="1">
      <x:c r="A16" s="27" t="str">
        <x:v>C1</x:v>
      </x:c>
      <x:c r="B16" s="27" t="str">
        <x:v>P2</x:v>
      </x:c>
      <x:c r="C16" s="27" t="str">
        <x:v>María José Suárez</x:v>
      </x:c>
      <x:c r="D16" s="41" t="n">
        <x:f>SUMIFS(Asignaciones!$I$6:$I$325,Asignaciones!$C$6:$C$325,B16,Asignaciones!$E$6:$E$325,C16)</x:f>
        <x:v>0.05</x:v>
      </x:c>
    </x:row>
    <x:row r="17" ht="27" customHeight="1">
      <x:c r="A17" s="27" t="str">
        <x:v>C1</x:v>
      </x:c>
      <x:c r="B17" s="27" t="str">
        <x:v>P2</x:v>
      </x:c>
      <x:c r="C17" s="27" t="str">
        <x:v>Paola Andrea Ruiz Franco</x:v>
      </x:c>
      <x:c r="D17" s="41" t="n">
        <x:f>SUMIFS(Asignaciones!$I$6:$I$325,Asignaciones!$C$6:$C$325,B17,Asignaciones!$E$6:$E$325,C17)</x:f>
        <x:v>0.1</x:v>
      </x:c>
    </x:row>
    <x:row r="18" ht="27" customHeight="1">
      <x:c r="A18" s="27" t="str">
        <x:v>C1</x:v>
      </x:c>
      <x:c r="B18" s="27" t="str">
        <x:v>P2</x:v>
      </x:c>
      <x:c r="C18" s="27" t="str">
        <x:v>Juliana Valencia</x:v>
      </x:c>
      <x:c r="D18" s="41" t="n">
        <x:f>SUMIFS(Asignaciones!$I$6:$I$325,Asignaciones!$C$6:$C$325,B18,Asignaciones!$E$6:$E$325,C18)</x:f>
        <x:v>0.195</x:v>
      </x:c>
    </x:row>
    <x:row r="19" ht="27" customHeight="1">
      <x:c r="A19" s="27" t="str">
        <x:v>C1</x:v>
      </x:c>
      <x:c r="B19" s="27" t="str">
        <x:v>P2</x:v>
      </x:c>
      <x:c r="C19" s="27" t="str">
        <x:v>Jeiner de Jesús Castellanos Barliza</x:v>
      </x:c>
      <x:c r="D19" s="41" t="n">
        <x:f>SUMIFS(Asignaciones!$I$6:$I$325,Asignaciones!$C$6:$C$325,B19,Asignaciones!$E$6:$E$325,C19)</x:f>
        <x:v>0.05625</x:v>
      </x:c>
    </x:row>
    <x:row r="20" ht="27" customHeight="1">
      <x:c r="A20" s="27" t="str">
        <x:v>C1</x:v>
      </x:c>
      <x:c r="B20" s="27" t="str">
        <x:v>P2</x:v>
      </x:c>
      <x:c r="C20" s="27" t="str">
        <x:v>Marcos Arango Tamayo</x:v>
      </x:c>
      <x:c r="D20" s="41" t="n">
        <x:f>SUMIFS(Asignaciones!$I$6:$I$325,Asignaciones!$C$6:$C$325,B20,Asignaciones!$E$6:$E$325,C20)</x:f>
        <x:v>0.195</x:v>
      </x:c>
    </x:row>
    <x:row r="21" ht="27" customHeight="1">
      <x:c r="A21" s="27" t="str">
        <x:v>C1</x:v>
      </x:c>
      <x:c r="B21" s="27" t="str">
        <x:v>P2</x:v>
      </x:c>
      <x:c r="C21" s="27" t="str">
        <x:v>Harlem Acevedo Agudelo</x:v>
      </x:c>
      <x:c r="D21" s="41" t="n">
        <x:f>SUMIFS(Asignaciones!$I$6:$I$325,Asignaciones!$C$6:$C$325,B21,Asignaciones!$E$6:$E$325,C21)</x:f>
        <x:v>0.05625</x:v>
      </x:c>
    </x:row>
    <x:row r="22" ht="27" customHeight="1">
      <x:c r="A22" s="27" t="str">
        <x:v>C1</x:v>
      </x:c>
      <x:c r="B22" s="27" t="str">
        <x:v>P2</x:v>
      </x:c>
      <x:c r="C22" s="27" t="str">
        <x:v>Vanessa García Leoz</x:v>
      </x:c>
      <x:c r="D22" s="41" t="n">
        <x:f>SUMIFS(Asignaciones!$I$6:$I$325,Asignaciones!$C$6:$C$325,B22,Asignaciones!$E$6:$E$325,C22)</x:f>
        <x:v>0.1125</x:v>
      </x:c>
    </x:row>
    <x:row r="23" ht="27" customHeight="1">
      <x:c r="A23" s="27" t="str">
        <x:v>C1</x:v>
      </x:c>
      <x:c r="B23" s="27" t="str">
        <x:v>P2</x:v>
      </x:c>
      <x:c r="C23" s="27" t="str">
        <x:v>Guillermo Penagos</x:v>
      </x:c>
      <x:c r="D23" s="41" t="n">
        <x:f>SUMIFS(Asignaciones!$I$6:$I$325,Asignaciones!$C$6:$C$325,B23,Asignaciones!$E$6:$E$325,C23)</x:f>
        <x:v>0.05</x:v>
      </x:c>
    </x:row>
    <x:row r="24" ht="27" customHeight="1">
      <x:c r="A24" s="27" t="str">
        <x:v>C1</x:v>
      </x:c>
      <x:c r="B24" s="27" t="str">
        <x:v>P2</x:v>
      </x:c>
      <x:c r="C24" s="27" t="str">
        <x:v>Sebastián Cartagena</x:v>
      </x:c>
      <x:c r="D24" s="41" t="n">
        <x:f>SUMIFS(Asignaciones!$I$6:$I$325,Asignaciones!$C$6:$C$325,B24,Asignaciones!$E$6:$E$325,C24)</x:f>
        <x:v>0.135</x:v>
      </x:c>
    </x:row>
    <x:row r="25" ht="27" customHeight="1">
      <x:c r="A25" s="27" t="str">
        <x:v>C1</x:v>
      </x:c>
      <x:c r="B25" s="27" t="str">
        <x:v>P2</x:v>
      </x:c>
      <x:c r="C25" s="27" t="str">
        <x:v>Juana — Secretaría de Medio Ambiente</x:v>
      </x:c>
      <x:c r="D25" s="41" t="n">
        <x:f>SUMIFS(Asignaciones!$I$6:$I$325,Asignaciones!$C$6:$C$325,B25,Asignaciones!$E$6:$E$325,C25)</x:f>
        <x:v>0.05</x:v>
      </x:c>
    </x:row>
    <x:row r="26" ht="27" customHeight="1">
      <x:c r="A26" s="27" t="str">
        <x:v>C2</x:v>
      </x:c>
      <x:c r="B26" s="27" t="str">
        <x:v>P3</x:v>
      </x:c>
      <x:c r="C26" s="27" t="str">
        <x:v>María José Suárez</x:v>
      </x:c>
      <x:c r="D26" s="41" t="n">
        <x:f>SUMIFS(Asignaciones!$I$6:$I$325,Asignaciones!$C$6:$C$325,B26,Asignaciones!$E$6:$E$325,C26)</x:f>
        <x:v>0.05</x:v>
      </x:c>
    </x:row>
    <x:row r="27" ht="27" customHeight="1">
      <x:c r="A27" s="27" t="str">
        <x:v>C2</x:v>
      </x:c>
      <x:c r="B27" s="27" t="str">
        <x:v>P3</x:v>
      </x:c>
      <x:c r="C27" s="27" t="str">
        <x:v>Paola Andrea Ruiz Franco</x:v>
      </x:c>
      <x:c r="D27" s="41" t="n">
        <x:f>SUMIFS(Asignaciones!$I$6:$I$325,Asignaciones!$C$6:$C$325,B27,Asignaciones!$E$6:$E$325,C27)</x:f>
        <x:v>0.09999999999999999</x:v>
      </x:c>
    </x:row>
    <x:row r="28" ht="27" customHeight="1">
      <x:c r="A28" s="27" t="str">
        <x:v>C2</x:v>
      </x:c>
      <x:c r="B28" s="27" t="str">
        <x:v>P3</x:v>
      </x:c>
      <x:c r="C28" s="27" t="str">
        <x:v>Jeiner de Jesús Castellanos Barliza</x:v>
      </x:c>
      <x:c r="D28" s="41" t="n">
        <x:f>SUMIFS(Asignaciones!$I$6:$I$325,Asignaciones!$C$6:$C$325,B28,Asignaciones!$E$6:$E$325,C28)</x:f>
        <x:v>0.07312500000000001</x:v>
      </x:c>
    </x:row>
    <x:row r="29" ht="27" customHeight="1">
      <x:c r="A29" s="27" t="str">
        <x:v>C2</x:v>
      </x:c>
      <x:c r="B29" s="27" t="str">
        <x:v>P3</x:v>
      </x:c>
      <x:c r="C29" s="27" t="str">
        <x:v>Marcos Arango Tamayo</x:v>
      </x:c>
      <x:c r="D29" s="41" t="n">
        <x:f>SUMIFS(Asignaciones!$I$6:$I$325,Asignaciones!$C$6:$C$325,B29,Asignaciones!$E$6:$E$325,C29)</x:f>
        <x:v>0.05</x:v>
      </x:c>
    </x:row>
    <x:row r="30" ht="27" customHeight="1">
      <x:c r="A30" s="27" t="str">
        <x:v>C2</x:v>
      </x:c>
      <x:c r="B30" s="27" t="str">
        <x:v>P3</x:v>
      </x:c>
      <x:c r="C30" s="27" t="str">
        <x:v>Harlem Acevedo Agudelo</x:v>
      </x:c>
      <x:c r="D30" s="41" t="n">
        <x:f>SUMIFS(Asignaciones!$I$6:$I$325,Asignaciones!$C$6:$C$325,B30,Asignaciones!$E$6:$E$325,C30)</x:f>
        <x:v>0.10125</x:v>
      </x:c>
    </x:row>
    <x:row r="31" ht="27" customHeight="1">
      <x:c r="A31" s="27" t="str">
        <x:v>C2</x:v>
      </x:c>
      <x:c r="B31" s="27" t="str">
        <x:v>P3</x:v>
      </x:c>
      <x:c r="C31" s="27" t="str">
        <x:v>Vanessa García Leoz</x:v>
      </x:c>
      <x:c r="D31" s="41" t="n">
        <x:f>SUMIFS(Asignaciones!$I$6:$I$325,Asignaciones!$C$6:$C$325,B31,Asignaciones!$E$6:$E$325,C31)</x:f>
        <x:v>0.050625</x:v>
      </x:c>
    </x:row>
    <x:row r="32" ht="27" customHeight="1">
      <x:c r="A32" s="27" t="str">
        <x:v>C2</x:v>
      </x:c>
      <x:c r="B32" s="27" t="str">
        <x:v>P3</x:v>
      </x:c>
      <x:c r="C32" s="27" t="str">
        <x:v>Guillermo Penagos</x:v>
      </x:c>
      <x:c r="D32" s="41" t="n">
        <x:f>SUMIFS(Asignaciones!$I$6:$I$325,Asignaciones!$C$6:$C$325,B32,Asignaciones!$E$6:$E$325,C32)</x:f>
        <x:v>0.05</x:v>
      </x:c>
    </x:row>
    <x:row r="33" ht="27" customHeight="1">
      <x:c r="A33" s="27" t="str">
        <x:v>C2</x:v>
      </x:c>
      <x:c r="B33" s="27" t="str">
        <x:v>P3</x:v>
      </x:c>
      <x:c r="C33" s="27" t="str">
        <x:v>Sebastián Cartagena</x:v>
      </x:c>
      <x:c r="D33" s="41" t="n">
        <x:f>SUMIFS(Asignaciones!$I$6:$I$325,Asignaciones!$C$6:$C$325,B33,Asignaciones!$E$6:$E$325,C33)</x:f>
        <x:v>0.475</x:v>
      </x:c>
    </x:row>
    <x:row r="34" ht="27" customHeight="1">
      <x:c r="A34" s="27" t="str">
        <x:v>C2</x:v>
      </x:c>
      <x:c r="B34" s="27" t="str">
        <x:v>P3</x:v>
      </x:c>
      <x:c r="C34" s="27" t="str">
        <x:v>Juana — Secretaría de Medio Ambiente</x:v>
      </x:c>
      <x:c r="D34" s="41" t="n">
        <x:f>SUMIFS(Asignaciones!$I$6:$I$325,Asignaciones!$C$6:$C$325,B34,Asignaciones!$E$6:$E$325,C34)</x:f>
        <x:v>0.05</x:v>
      </x:c>
    </x:row>
    <x:row r="35" ht="27" customHeight="1">
      <x:c r="A35" s="27" t="str">
        <x:v>C2</x:v>
      </x:c>
      <x:c r="B35" s="27" t="str">
        <x:v>P4</x:v>
      </x:c>
      <x:c r="C35" s="27" t="str">
        <x:v>María José Suárez</x:v>
      </x:c>
      <x:c r="D35" s="41" t="n">
        <x:f>SUMIFS(Asignaciones!$I$6:$I$325,Asignaciones!$C$6:$C$325,B35,Asignaciones!$E$6:$E$325,C35)</x:f>
        <x:v>0.05</x:v>
      </x:c>
    </x:row>
    <x:row r="36" ht="27" customHeight="1">
      <x:c r="A36" s="27" t="str">
        <x:v>C2</x:v>
      </x:c>
      <x:c r="B36" s="27" t="str">
        <x:v>P4</x:v>
      </x:c>
      <x:c r="C36" s="27" t="str">
        <x:v>Paola Andrea Ruiz Franco</x:v>
      </x:c>
      <x:c r="D36" s="41" t="n">
        <x:f>SUMIFS(Asignaciones!$I$6:$I$325,Asignaciones!$C$6:$C$325,B36,Asignaciones!$E$6:$E$325,C36)</x:f>
        <x:v>0.09999999999999999</x:v>
      </x:c>
    </x:row>
    <x:row r="37" ht="27" customHeight="1">
      <x:c r="A37" s="27" t="str">
        <x:v>C2</x:v>
      </x:c>
      <x:c r="B37" s="27" t="str">
        <x:v>P4</x:v>
      </x:c>
      <x:c r="C37" s="27" t="str">
        <x:v>Juliana Valencia</x:v>
      </x:c>
      <x:c r="D37" s="41" t="n">
        <x:f>SUMIFS(Asignaciones!$I$6:$I$325,Asignaciones!$C$6:$C$325,B37,Asignaciones!$E$6:$E$325,C37)</x:f>
        <x:v>0.06000000000000001</x:v>
      </x:c>
    </x:row>
    <x:row r="38" ht="27" customHeight="1">
      <x:c r="A38" s="27" t="str">
        <x:v>C2</x:v>
      </x:c>
      <x:c r="B38" s="27" t="str">
        <x:v>P4</x:v>
      </x:c>
      <x:c r="C38" s="27" t="str">
        <x:v>Marcos Arango Tamayo</x:v>
      </x:c>
      <x:c r="D38" s="41" t="n">
        <x:f>SUMIFS(Asignaciones!$I$6:$I$325,Asignaciones!$C$6:$C$325,B38,Asignaciones!$E$6:$E$325,C38)</x:f>
        <x:v>0.06000000000000001</x:v>
      </x:c>
    </x:row>
    <x:row r="39" ht="27" customHeight="1">
      <x:c r="A39" s="27" t="str">
        <x:v>C2</x:v>
      </x:c>
      <x:c r="B39" s="27" t="str">
        <x:v>P4</x:v>
      </x:c>
      <x:c r="C39" s="27" t="str">
        <x:v>Diana Carolina Ríos Echeverri</x:v>
      </x:c>
      <x:c r="D39" s="41" t="n">
        <x:f>SUMIFS(Asignaciones!$I$6:$I$325,Asignaciones!$C$6:$C$325,B39,Asignaciones!$E$6:$E$325,C39)</x:f>
        <x:v>0.27499999999999997</x:v>
      </x:c>
    </x:row>
    <x:row r="40" ht="27" customHeight="1">
      <x:c r="A40" s="27" t="str">
        <x:v>C2</x:v>
      </x:c>
      <x:c r="B40" s="27" t="str">
        <x:v>P4</x:v>
      </x:c>
      <x:c r="C40" s="27" t="str">
        <x:v>Vanessa García Leoz</x:v>
      </x:c>
      <x:c r="D40" s="41" t="n">
        <x:f>SUMIFS(Asignaciones!$I$6:$I$325,Asignaciones!$C$6:$C$325,B40,Asignaciones!$E$6:$E$325,C40)</x:f>
        <x:v>0.030000000000000006</x:v>
      </x:c>
    </x:row>
    <x:row r="41" ht="27" customHeight="1">
      <x:c r="A41" s="27" t="str">
        <x:v>C2</x:v>
      </x:c>
      <x:c r="B41" s="27" t="str">
        <x:v>P4</x:v>
      </x:c>
      <x:c r="C41" s="27" t="str">
        <x:v>Alejandro Silva Cortés</x:v>
      </x:c>
      <x:c r="D41" s="41" t="n">
        <x:f>SUMIFS(Asignaciones!$I$6:$I$325,Asignaciones!$C$6:$C$325,B41,Asignaciones!$E$6:$E$325,C41)</x:f>
        <x:v>0.11249999999999999</x:v>
      </x:c>
    </x:row>
    <x:row r="42" ht="27" customHeight="1">
      <x:c r="A42" s="27" t="str">
        <x:v>C2</x:v>
      </x:c>
      <x:c r="B42" s="27" t="str">
        <x:v>P4</x:v>
      </x:c>
      <x:c r="C42" s="27" t="str">
        <x:v>Guillermo Penagos</x:v>
      </x:c>
      <x:c r="D42" s="41" t="n">
        <x:f>SUMIFS(Asignaciones!$I$6:$I$325,Asignaciones!$C$6:$C$325,B42,Asignaciones!$E$6:$E$325,C42)</x:f>
        <x:v>0.05</x:v>
      </x:c>
    </x:row>
    <x:row r="43" ht="27" customHeight="1">
      <x:c r="A43" s="27" t="str">
        <x:v>C2</x:v>
      </x:c>
      <x:c r="B43" s="27" t="str">
        <x:v>P4</x:v>
      </x:c>
      <x:c r="C43" s="27" t="str">
        <x:v>Daniel González Montoya</x:v>
      </x:c>
      <x:c r="D43" s="41" t="n">
        <x:f>SUMIFS(Asignaciones!$I$6:$I$325,Asignaciones!$C$6:$C$325,B43,Asignaciones!$E$6:$E$325,C43)</x:f>
        <x:v>0.11249999999999999</x:v>
      </x:c>
    </x:row>
    <x:row r="44" ht="27" customHeight="1">
      <x:c r="A44" s="27" t="str">
        <x:v>C2</x:v>
      </x:c>
      <x:c r="B44" s="27" t="str">
        <x:v>P4</x:v>
      </x:c>
      <x:c r="C44" s="27" t="str">
        <x:v>Sebastián Cartagena</x:v>
      </x:c>
      <x:c r="D44" s="41" t="n">
        <x:f>SUMIFS(Asignaciones!$I$6:$I$325,Asignaciones!$C$6:$C$325,B44,Asignaciones!$E$6:$E$325,C44)</x:f>
        <x:v>0.1</x:v>
      </x:c>
    </x:row>
    <x:row r="45" ht="27" customHeight="1">
      <x:c r="A45" s="27" t="str">
        <x:v>C2</x:v>
      </x:c>
      <x:c r="B45" s="27" t="str">
        <x:v>P4</x:v>
      </x:c>
      <x:c r="C45" s="27" t="str">
        <x:v>Juana — Secretaría de Medio Ambiente</x:v>
      </x:c>
      <x:c r="D45" s="41" t="n">
        <x:f>SUMIFS(Asignaciones!$I$6:$I$325,Asignaciones!$C$6:$C$325,B45,Asignaciones!$E$6:$E$325,C45)</x:f>
        <x:v>0.05</x:v>
      </x:c>
    </x:row>
    <x:row r="46" ht="27" customHeight="1">
      <x:c r="A46" s="27" t="str">
        <x:v>C3</x:v>
      </x:c>
      <x:c r="B46" s="27" t="str">
        <x:v>P5</x:v>
      </x:c>
      <x:c r="C46" s="27" t="str">
        <x:v>María José Suárez</x:v>
      </x:c>
      <x:c r="D46" s="41" t="n">
        <x:f>SUMIFS(Asignaciones!$I$6:$I$325,Asignaciones!$C$6:$C$325,B46,Asignaciones!$E$6:$E$325,C46)</x:f>
        <x:v>0.05</x:v>
      </x:c>
    </x:row>
    <x:row r="47" ht="27" customHeight="1">
      <x:c r="A47" s="27" t="str">
        <x:v>C3</x:v>
      </x:c>
      <x:c r="B47" s="27" t="str">
        <x:v>P5</x:v>
      </x:c>
      <x:c r="C47" s="27" t="str">
        <x:v>Paola Andrea Ruiz Franco</x:v>
      </x:c>
      <x:c r="D47" s="41" t="n">
        <x:f>SUMIFS(Asignaciones!$I$6:$I$325,Asignaciones!$C$6:$C$325,B47,Asignaciones!$E$6:$E$325,C47)</x:f>
        <x:v>0.1</x:v>
      </x:c>
    </x:row>
    <x:row r="48" ht="27" customHeight="1">
      <x:c r="A48" s="27" t="str">
        <x:v>C3</x:v>
      </x:c>
      <x:c r="B48" s="27" t="str">
        <x:v>P5</x:v>
      </x:c>
      <x:c r="C48" s="27" t="str">
        <x:v>Juliana Valencia</x:v>
      </x:c>
      <x:c r="D48" s="41" t="n">
        <x:f>SUMIFS(Asignaciones!$I$6:$I$325,Asignaciones!$C$6:$C$325,B48,Asignaciones!$E$6:$E$325,C48)</x:f>
        <x:v>0.119375</x:v>
      </x:c>
    </x:row>
    <x:row r="49" ht="27" customHeight="1">
      <x:c r="A49" s="27" t="str">
        <x:v>C3</x:v>
      </x:c>
      <x:c r="B49" s="27" t="str">
        <x:v>P5</x:v>
      </x:c>
      <x:c r="C49" s="27" t="str">
        <x:v>Jeiner de Jesús Castellanos Barliza</x:v>
      </x:c>
      <x:c r="D49" s="41" t="n">
        <x:f>SUMIFS(Asignaciones!$I$6:$I$325,Asignaciones!$C$6:$C$325,B49,Asignaciones!$E$6:$E$325,C49)</x:f>
        <x:v>0.09625</x:v>
      </x:c>
    </x:row>
    <x:row r="50" ht="27" customHeight="1">
      <x:c r="A50" s="27" t="str">
        <x:v>C3</x:v>
      </x:c>
      <x:c r="B50" s="27" t="str">
        <x:v>P5</x:v>
      </x:c>
      <x:c r="C50" s="27" t="str">
        <x:v>Marcos Arango Tamayo</x:v>
      </x:c>
      <x:c r="D50" s="41" t="n">
        <x:f>SUMIFS(Asignaciones!$I$6:$I$325,Asignaciones!$C$6:$C$325,B50,Asignaciones!$E$6:$E$325,C50)</x:f>
        <x:v>0.23125</x:v>
      </x:c>
    </x:row>
    <x:row r="51" ht="27" customHeight="1">
      <x:c r="A51" s="27" t="str">
        <x:v>C3</x:v>
      </x:c>
      <x:c r="B51" s="27" t="str">
        <x:v>P5</x:v>
      </x:c>
      <x:c r="C51" s="27" t="str">
        <x:v>Diana Carolina Ríos Echeverri</x:v>
      </x:c>
      <x:c r="D51" s="41" t="n">
        <x:f>SUMIFS(Asignaciones!$I$6:$I$325,Asignaciones!$C$6:$C$325,B51,Asignaciones!$E$6:$E$325,C51)</x:f>
        <x:v>0.021875</x:v>
      </x:c>
    </x:row>
    <x:row r="52" ht="27" customHeight="1">
      <x:c r="A52" s="27" t="str">
        <x:v>C3</x:v>
      </x:c>
      <x:c r="B52" s="27" t="str">
        <x:v>P5</x:v>
      </x:c>
      <x:c r="C52" s="27" t="str">
        <x:v>Harlem Acevedo Agudelo</x:v>
      </x:c>
      <x:c r="D52" s="41" t="n">
        <x:f>SUMIFS(Asignaciones!$I$6:$I$325,Asignaciones!$C$6:$C$325,B52,Asignaciones!$E$6:$E$325,C52)</x:f>
        <x:v>0.04375</x:v>
      </x:c>
    </x:row>
    <x:row r="53" ht="27" customHeight="1">
      <x:c r="A53" s="27" t="str">
        <x:v>C3</x:v>
      </x:c>
      <x:c r="B53" s="27" t="str">
        <x:v>P5</x:v>
      </x:c>
      <x:c r="C53" s="27" t="str">
        <x:v>Vanessa García Leoz</x:v>
      </x:c>
      <x:c r="D53" s="41" t="n">
        <x:f>SUMIFS(Asignaciones!$I$6:$I$325,Asignaciones!$C$6:$C$325,B53,Asignaciones!$E$6:$E$325,C53)</x:f>
        <x:v>0.14875</x:v>
      </x:c>
    </x:row>
    <x:row r="54" ht="27" customHeight="1">
      <x:c r="A54" s="27" t="str">
        <x:v>C3</x:v>
      </x:c>
      <x:c r="B54" s="27" t="str">
        <x:v>P5</x:v>
      </x:c>
      <x:c r="C54" s="27" t="str">
        <x:v>Alejandro Silva Cortés</x:v>
      </x:c>
      <x:c r="D54" s="41" t="n">
        <x:f>SUMIFS(Asignaciones!$I$6:$I$325,Asignaciones!$C$6:$C$325,B54,Asignaciones!$E$6:$E$325,C54)</x:f>
        <x:v>0.04375</x:v>
      </x:c>
    </x:row>
    <x:row r="55" ht="27" customHeight="1">
      <x:c r="A55" s="27" t="str">
        <x:v>C3</x:v>
      </x:c>
      <x:c r="B55" s="27" t="str">
        <x:v>P5</x:v>
      </x:c>
      <x:c r="C55" s="27" t="str">
        <x:v>Guillermo Penagos</x:v>
      </x:c>
      <x:c r="D55" s="41" t="n">
        <x:f>SUMIFS(Asignaciones!$I$6:$I$325,Asignaciones!$C$6:$C$325,B55,Asignaciones!$E$6:$E$325,C55)</x:f>
        <x:v>0.05</x:v>
      </x:c>
    </x:row>
    <x:row r="56" ht="27" customHeight="1">
      <x:c r="A56" s="27" t="str">
        <x:v>C3</x:v>
      </x:c>
      <x:c r="B56" s="27" t="str">
        <x:v>P5</x:v>
      </x:c>
      <x:c r="C56" s="27" t="str">
        <x:v>Sebastián Cartagena</x:v>
      </x:c>
      <x:c r="D56" s="41" t="n">
        <x:f>SUMIFS(Asignaciones!$I$6:$I$325,Asignaciones!$C$6:$C$325,B56,Asignaciones!$E$6:$E$325,C56)</x:f>
        <x:v>0.045000000000000005</x:v>
      </x:c>
    </x:row>
    <x:row r="57" ht="27" customHeight="1">
      <x:c r="A57" s="27" t="str">
        <x:v>C3</x:v>
      </x:c>
      <x:c r="B57" s="27" t="str">
        <x:v>P5</x:v>
      </x:c>
      <x:c r="C57" s="27" t="str">
        <x:v>Juana — Secretaría de Medio Ambiente</x:v>
      </x:c>
      <x:c r="D57" s="41" t="n">
        <x:f>SUMIFS(Asignaciones!$I$6:$I$325,Asignaciones!$C$6:$C$325,B57,Asignaciones!$E$6:$E$325,C57)</x:f>
        <x:v>0.05</x:v>
      </x:c>
    </x:row>
    <x:row r="58" ht="27" customHeight="1">
      <x:c r="A58" s="27" t="str">
        <x:v>C3</x:v>
      </x:c>
      <x:c r="B58" s="27" t="str">
        <x:v>P6</x:v>
      </x:c>
      <x:c r="C58" s="27" t="str">
        <x:v>María José Suárez</x:v>
      </x:c>
      <x:c r="D58" s="41" t="n">
        <x:f>SUMIFS(Asignaciones!$I$6:$I$325,Asignaciones!$C$6:$C$325,B58,Asignaciones!$E$6:$E$325,C58)</x:f>
        <x:v>0.05</x:v>
      </x:c>
    </x:row>
    <x:row r="59" ht="27" customHeight="1">
      <x:c r="A59" s="27" t="str">
        <x:v>C3</x:v>
      </x:c>
      <x:c r="B59" s="27" t="str">
        <x:v>P6</x:v>
      </x:c>
      <x:c r="C59" s="27" t="str">
        <x:v>Paola Andrea Ruiz Franco</x:v>
      </x:c>
      <x:c r="D59" s="41" t="n">
        <x:f>SUMIFS(Asignaciones!$I$6:$I$325,Asignaciones!$C$6:$C$325,B59,Asignaciones!$E$6:$E$325,C59)</x:f>
        <x:v>0.1</x:v>
      </x:c>
    </x:row>
    <x:row r="60" ht="27" customHeight="1">
      <x:c r="A60" s="27" t="str">
        <x:v>C3</x:v>
      </x:c>
      <x:c r="B60" s="27" t="str">
        <x:v>P6</x:v>
      </x:c>
      <x:c r="C60" s="27" t="str">
        <x:v>Juliana Valencia</x:v>
      </x:c>
      <x:c r="D60" s="41" t="n">
        <x:f>SUMIFS(Asignaciones!$I$6:$I$325,Asignaciones!$C$6:$C$325,B60,Asignaciones!$E$6:$E$325,C60)</x:f>
        <x:v>0.15000000000000002</x:v>
      </x:c>
    </x:row>
    <x:row r="61" ht="27" customHeight="1">
      <x:c r="A61" s="27" t="str">
        <x:v>C3</x:v>
      </x:c>
      <x:c r="B61" s="27" t="str">
        <x:v>P6</x:v>
      </x:c>
      <x:c r="C61" s="27" t="str">
        <x:v>Jeiner de Jesús Castellanos Barliza</x:v>
      </x:c>
      <x:c r="D61" s="41" t="n">
        <x:f>SUMIFS(Asignaciones!$I$6:$I$325,Asignaciones!$C$6:$C$325,B61,Asignaciones!$E$6:$E$325,C61)</x:f>
        <x:v>0.09750000000000002</x:v>
      </x:c>
    </x:row>
    <x:row r="62" ht="27" customHeight="1">
      <x:c r="A62" s="27" t="str">
        <x:v>C3</x:v>
      </x:c>
      <x:c r="B62" s="27" t="str">
        <x:v>P6</x:v>
      </x:c>
      <x:c r="C62" s="27" t="str">
        <x:v>Marcos Arango Tamayo</x:v>
      </x:c>
      <x:c r="D62" s="41" t="n">
        <x:f>SUMIFS(Asignaciones!$I$6:$I$325,Asignaciones!$C$6:$C$325,B62,Asignaciones!$E$6:$E$325,C62)</x:f>
        <x:v>0.24750000000000003</x:v>
      </x:c>
    </x:row>
    <x:row r="63" ht="27" customHeight="1">
      <x:c r="A63" s="27" t="str">
        <x:v>C3</x:v>
      </x:c>
      <x:c r="B63" s="27" t="str">
        <x:v>P6</x:v>
      </x:c>
      <x:c r="C63" s="27" t="str">
        <x:v>Diana Carolina Ríos Echeverri</x:v>
      </x:c>
      <x:c r="D63" s="41" t="n">
        <x:f>SUMIFS(Asignaciones!$I$6:$I$325,Asignaciones!$C$6:$C$325,B63,Asignaciones!$E$6:$E$325,C63)</x:f>
        <x:v>0.105</x:v>
      </x:c>
    </x:row>
    <x:row r="64" ht="27" customHeight="1">
      <x:c r="A64" s="27" t="str">
        <x:v>C3</x:v>
      </x:c>
      <x:c r="B64" s="27" t="str">
        <x:v>P6</x:v>
      </x:c>
      <x:c r="C64" s="27" t="str">
        <x:v>Vanessa García Leoz</x:v>
      </x:c>
      <x:c r="D64" s="41" t="n">
        <x:f>SUMIFS(Asignaciones!$I$6:$I$325,Asignaciones!$C$6:$C$325,B64,Asignaciones!$E$6:$E$325,C64)</x:f>
        <x:v>0.09750000000000002</x:v>
      </x:c>
    </x:row>
    <x:row r="65" ht="27" customHeight="1">
      <x:c r="A65" s="27" t="str">
        <x:v>C3</x:v>
      </x:c>
      <x:c r="B65" s="27" t="str">
        <x:v>P6</x:v>
      </x:c>
      <x:c r="C65" s="27" t="str">
        <x:v>Alejandro Silva Cortés</x:v>
      </x:c>
      <x:c r="D65" s="41" t="n">
        <x:f>SUMIFS(Asignaciones!$I$6:$I$325,Asignaciones!$C$6:$C$325,B65,Asignaciones!$E$6:$E$325,C65)</x:f>
        <x:v>0.0525</x:v>
      </x:c>
    </x:row>
    <x:row r="66" ht="27" customHeight="1">
      <x:c r="A66" s="27" t="str">
        <x:v>C3</x:v>
      </x:c>
      <x:c r="B66" s="27" t="str">
        <x:v>P6</x:v>
      </x:c>
      <x:c r="C66" s="27" t="str">
        <x:v>Guillermo Penagos</x:v>
      </x:c>
      <x:c r="D66" s="41" t="n">
        <x:f>SUMIFS(Asignaciones!$I$6:$I$325,Asignaciones!$C$6:$C$325,B66,Asignaciones!$E$6:$E$325,C66)</x:f>
        <x:v>0.05</x:v>
      </x:c>
    </x:row>
    <x:row r="67" ht="27" customHeight="1">
      <x:c r="A67" s="27" t="str">
        <x:v>C3</x:v>
      </x:c>
      <x:c r="B67" s="27" t="str">
        <x:v>P6</x:v>
      </x:c>
      <x:c r="C67" s="27" t="str">
        <x:v>Juana — Secretaría de Medio Ambiente</x:v>
      </x:c>
      <x:c r="D67" s="41" t="n">
        <x:f>SUMIFS(Asignaciones!$I$6:$I$325,Asignaciones!$C$6:$C$325,B67,Asignaciones!$E$6:$E$325,C67)</x:f>
        <x:v>0.05</x:v>
      </x:c>
    </x:row>
    <x:row r="68" ht="27" customHeight="1">
      <x:c r="A68" s="27" t="str">
        <x:v>C3</x:v>
      </x:c>
      <x:c r="B68" s="27" t="str">
        <x:v>P7</x:v>
      </x:c>
      <x:c r="C68" s="27" t="str">
        <x:v>María José Suárez</x:v>
      </x:c>
      <x:c r="D68" s="41" t="n">
        <x:f>SUMIFS(Asignaciones!$I$6:$I$325,Asignaciones!$C$6:$C$325,B68,Asignaciones!$E$6:$E$325,C68)</x:f>
        <x:v>0.05</x:v>
      </x:c>
    </x:row>
    <x:row r="69" ht="27" customHeight="1">
      <x:c r="A69" s="27" t="str">
        <x:v>C3</x:v>
      </x:c>
      <x:c r="B69" s="27" t="str">
        <x:v>P7</x:v>
      </x:c>
      <x:c r="C69" s="27" t="str">
        <x:v>Paola Andrea Ruiz Franco</x:v>
      </x:c>
      <x:c r="D69" s="41" t="n">
        <x:f>SUMIFS(Asignaciones!$I$6:$I$325,Asignaciones!$C$6:$C$325,B69,Asignaciones!$E$6:$E$325,C69)</x:f>
        <x:v>0.1</x:v>
      </x:c>
    </x:row>
    <x:row r="70" ht="27" customHeight="1">
      <x:c r="A70" s="27" t="str">
        <x:v>C3</x:v>
      </x:c>
      <x:c r="B70" s="27" t="str">
        <x:v>P7</x:v>
      </x:c>
      <x:c r="C70" s="27" t="str">
        <x:v>Juliana Valencia</x:v>
      </x:c>
      <x:c r="D70" s="41" t="n">
        <x:f>SUMIFS(Asignaciones!$I$6:$I$325,Asignaciones!$C$6:$C$325,B70,Asignaciones!$E$6:$E$325,C70)</x:f>
        <x:v>0.11500000000000002</x:v>
      </x:c>
    </x:row>
    <x:row r="71" ht="27" customHeight="1">
      <x:c r="A71" s="27" t="str">
        <x:v>C3</x:v>
      </x:c>
      <x:c r="B71" s="27" t="str">
        <x:v>P7</x:v>
      </x:c>
      <x:c r="C71" s="27" t="str">
        <x:v>Jeiner de Jesús Castellanos Barliza</x:v>
      </x:c>
      <x:c r="D71" s="41" t="n">
        <x:f>SUMIFS(Asignaciones!$I$6:$I$325,Asignaciones!$C$6:$C$325,B71,Asignaciones!$E$6:$E$325,C71)</x:f>
        <x:v>0.09000000000000001</x:v>
      </x:c>
    </x:row>
    <x:row r="72" ht="27" customHeight="1">
      <x:c r="A72" s="27" t="str">
        <x:v>C3</x:v>
      </x:c>
      <x:c r="B72" s="27" t="str">
        <x:v>P7</x:v>
      </x:c>
      <x:c r="C72" s="27" t="str">
        <x:v>Marcos Arango Tamayo</x:v>
      </x:c>
      <x:c r="D72" s="41" t="n">
        <x:f>SUMIFS(Asignaciones!$I$6:$I$325,Asignaciones!$C$6:$C$325,B72,Asignaciones!$E$6:$E$325,C72)</x:f>
        <x:v>0.1675</x:v>
      </x:c>
    </x:row>
    <x:row r="73" ht="27" customHeight="1">
      <x:c r="A73" s="27" t="str">
        <x:v>C3</x:v>
      </x:c>
      <x:c r="B73" s="27" t="str">
        <x:v>P7</x:v>
      </x:c>
      <x:c r="C73" s="27" t="str">
        <x:v>Diana Carolina Ríos Echeverri</x:v>
      </x:c>
      <x:c r="D73" s="41" t="n">
        <x:f>SUMIFS(Asignaciones!$I$6:$I$325,Asignaciones!$C$6:$C$325,B73,Asignaciones!$E$6:$E$325,C73)</x:f>
        <x:v>0.06000000000000001</x:v>
      </x:c>
    </x:row>
    <x:row r="74" ht="27" customHeight="1">
      <x:c r="A74" s="27" t="str">
        <x:v>C3</x:v>
      </x:c>
      <x:c r="B74" s="27" t="str">
        <x:v>P7</x:v>
      </x:c>
      <x:c r="C74" s="27" t="str">
        <x:v>Harlem Acevedo Agudelo</x:v>
      </x:c>
      <x:c r="D74" s="41" t="n">
        <x:f>SUMIFS(Asignaciones!$I$6:$I$325,Asignaciones!$C$6:$C$325,B74,Asignaciones!$E$6:$E$325,C74)</x:f>
        <x:v>0.11250000000000002</x:v>
      </x:c>
    </x:row>
    <x:row r="75" ht="27" customHeight="1">
      <x:c r="A75" s="27" t="str">
        <x:v>C3</x:v>
      </x:c>
      <x:c r="B75" s="27" t="str">
        <x:v>P7</x:v>
      </x:c>
      <x:c r="C75" s="27" t="str">
        <x:v>Vanessa García Leoz</x:v>
      </x:c>
      <x:c r="D75" s="41" t="n">
        <x:f>SUMIFS(Asignaciones!$I$6:$I$325,Asignaciones!$C$6:$C$325,B75,Asignaciones!$E$6:$E$325,C75)</x:f>
        <x:v>0.11500000000000002</x:v>
      </x:c>
    </x:row>
    <x:row r="76" ht="27" customHeight="1">
      <x:c r="A76" s="27" t="str">
        <x:v>C3</x:v>
      </x:c>
      <x:c r="B76" s="27" t="str">
        <x:v>P7</x:v>
      </x:c>
      <x:c r="C76" s="27" t="str">
        <x:v>Alejandro Silva Cortés</x:v>
      </x:c>
      <x:c r="D76" s="41" t="n">
        <x:f>SUMIFS(Asignaciones!$I$6:$I$325,Asignaciones!$C$6:$C$325,B76,Asignaciones!$E$6:$E$325,C76)</x:f>
        <x:v>0.06000000000000001</x:v>
      </x:c>
    </x:row>
    <x:row r="77" ht="27" customHeight="1">
      <x:c r="A77" s="27" t="str">
        <x:v>C3</x:v>
      </x:c>
      <x:c r="B77" s="27" t="str">
        <x:v>P7</x:v>
      </x:c>
      <x:c r="C77" s="27" t="str">
        <x:v>Guillermo Penagos</x:v>
      </x:c>
      <x:c r="D77" s="41" t="n">
        <x:f>SUMIFS(Asignaciones!$I$6:$I$325,Asignaciones!$C$6:$C$325,B77,Asignaciones!$E$6:$E$325,C77)</x:f>
        <x:v>0.05</x:v>
      </x:c>
    </x:row>
    <x:row r="78" ht="27" customHeight="1">
      <x:c r="A78" s="27" t="str">
        <x:v>C3</x:v>
      </x:c>
      <x:c r="B78" s="27" t="str">
        <x:v>P7</x:v>
      </x:c>
      <x:c r="C78" s="27" t="str">
        <x:v>Sebastián Cartagena</x:v>
      </x:c>
      <x:c r="D78" s="41" t="n">
        <x:f>SUMIFS(Asignaciones!$I$6:$I$325,Asignaciones!$C$6:$C$325,B78,Asignaciones!$E$6:$E$325,C78)</x:f>
        <x:v>0.030000000000000006</x:v>
      </x:c>
    </x:row>
    <x:row r="79" ht="27" customHeight="1">
      <x:c r="A79" s="27" t="str">
        <x:v>C3</x:v>
      </x:c>
      <x:c r="B79" s="27" t="str">
        <x:v>P7</x:v>
      </x:c>
      <x:c r="C79" s="27" t="str">
        <x:v>Juana — Secretaría de Medio Ambiente</x:v>
      </x:c>
      <x:c r="D79" s="41" t="n">
        <x:f>SUMIFS(Asignaciones!$I$6:$I$325,Asignaciones!$C$6:$C$325,B79,Asignaciones!$E$6:$E$325,C79)</x:f>
        <x:v>0.05</x:v>
      </x:c>
    </x:row>
    <x:row r="80" ht="27" customHeight="1">
      <x:c r="A80" s="27" t="str">
        <x:v>C4</x:v>
      </x:c>
      <x:c r="B80" s="27" t="str">
        <x:v>P8</x:v>
      </x:c>
      <x:c r="C80" s="27" t="str">
        <x:v>María José Suárez</x:v>
      </x:c>
      <x:c r="D80" s="41" t="n">
        <x:f>SUMIFS(Asignaciones!$I$6:$I$325,Asignaciones!$C$6:$C$325,B80,Asignaciones!$E$6:$E$325,C80)</x:f>
        <x:v>0.05</x:v>
      </x:c>
    </x:row>
    <x:row r="81" ht="27" customHeight="1">
      <x:c r="A81" s="27" t="str">
        <x:v>C4</x:v>
      </x:c>
      <x:c r="B81" s="27" t="str">
        <x:v>P8</x:v>
      </x:c>
      <x:c r="C81" s="27" t="str">
        <x:v>Paola Andrea Ruiz Franco</x:v>
      </x:c>
      <x:c r="D81" s="41" t="n">
        <x:f>SUMIFS(Asignaciones!$I$6:$I$325,Asignaciones!$C$6:$C$325,B81,Asignaciones!$E$6:$E$325,C81)</x:f>
        <x:v>0.1</x:v>
      </x:c>
    </x:row>
    <x:row r="82" ht="27" customHeight="1">
      <x:c r="A82" s="27" t="str">
        <x:v>C4</x:v>
      </x:c>
      <x:c r="B82" s="27" t="str">
        <x:v>P8</x:v>
      </x:c>
      <x:c r="C82" s="27" t="str">
        <x:v>Guillermo Penagos</x:v>
      </x:c>
      <x:c r="D82" s="41" t="n">
        <x:f>SUMIFS(Asignaciones!$I$6:$I$325,Asignaciones!$C$6:$C$325,B82,Asignaciones!$E$6:$E$325,C82)</x:f>
        <x:v>0.05</x:v>
      </x:c>
    </x:row>
    <x:row r="83" ht="27" customHeight="1">
      <x:c r="A83" s="27" t="str">
        <x:v>C4</x:v>
      </x:c>
      <x:c r="B83" s="27" t="str">
        <x:v>P8</x:v>
      </x:c>
      <x:c r="C83" s="27" t="str">
        <x:v>Luis Eduardo Vahos Hernández</x:v>
      </x:c>
      <x:c r="D83" s="41" t="n">
        <x:f>SUMIFS(Asignaciones!$I$6:$I$325,Asignaciones!$C$6:$C$325,B83,Asignaciones!$E$6:$E$325,C83)</x:f>
        <x:v>0.07500000000000001</x:v>
      </x:c>
    </x:row>
    <x:row r="84" ht="27" customHeight="1">
      <x:c r="A84" s="27" t="str">
        <x:v>C4</x:v>
      </x:c>
      <x:c r="B84" s="27" t="str">
        <x:v>P8</x:v>
      </x:c>
      <x:c r="C84" s="27" t="str">
        <x:v>León Darío Orrego Espejo</x:v>
      </x:c>
      <x:c r="D84" s="41" t="n">
        <x:f>SUMIFS(Asignaciones!$I$6:$I$325,Asignaciones!$C$6:$C$325,B84,Asignaciones!$E$6:$E$325,C84)</x:f>
        <x:v>0.045000000000000005</x:v>
      </x:c>
    </x:row>
    <x:row r="85" ht="27" customHeight="1">
      <x:c r="A85" s="27" t="str">
        <x:v>C4</x:v>
      </x:c>
      <x:c r="B85" s="27" t="str">
        <x:v>P8</x:v>
      </x:c>
      <x:c r="C85" s="27" t="str">
        <x:v>Daniel González Montoya</x:v>
      </x:c>
      <x:c r="D85" s="41" t="n">
        <x:f>SUMIFS(Asignaciones!$I$6:$I$325,Asignaciones!$C$6:$C$325,B85,Asignaciones!$E$6:$E$325,C85)</x:f>
        <x:v>0.2875000000000001</x:v>
      </x:c>
    </x:row>
    <x:row r="86" ht="27" customHeight="1">
      <x:c r="A86" s="27" t="str">
        <x:v>C4</x:v>
      </x:c>
      <x:c r="B86" s="27" t="str">
        <x:v>P8</x:v>
      </x:c>
      <x:c r="C86" s="27" t="str">
        <x:v>Sebastián Cartagena</x:v>
      </x:c>
      <x:c r="D86" s="41" t="n">
        <x:f>SUMIFS(Asignaciones!$I$6:$I$325,Asignaciones!$C$6:$C$325,B86,Asignaciones!$E$6:$E$325,C86)</x:f>
        <x:v>0.185</x:v>
      </x:c>
    </x:row>
    <x:row r="87" ht="27" customHeight="1">
      <x:c r="A87" s="27" t="str">
        <x:v>C4</x:v>
      </x:c>
      <x:c r="B87" s="27" t="str">
        <x:v>P8</x:v>
      </x:c>
      <x:c r="C87" s="27" t="str">
        <x:v>Liliana Restrepo</x:v>
      </x:c>
      <x:c r="D87" s="41" t="n">
        <x:f>SUMIFS(Asignaciones!$I$6:$I$325,Asignaciones!$C$6:$C$325,B87,Asignaciones!$E$6:$E$325,C87)</x:f>
        <x:v>0.0975</x:v>
      </x:c>
    </x:row>
    <x:row r="88" ht="27" customHeight="1">
      <x:c r="A88" s="27" t="str">
        <x:v>C4</x:v>
      </x:c>
      <x:c r="B88" s="27" t="str">
        <x:v>P8</x:v>
      </x:c>
      <x:c r="C88" s="27" t="str">
        <x:v>Juana — Secretaría de Medio Ambiente</x:v>
      </x:c>
      <x:c r="D88" s="41" t="n">
        <x:f>SUMIFS(Asignaciones!$I$6:$I$325,Asignaciones!$C$6:$C$325,B88,Asignaciones!$E$6:$E$325,C88)</x:f>
        <x:v>0.05</x:v>
      </x:c>
    </x:row>
    <x:row r="89" ht="27" customHeight="1">
      <x:c r="A89" s="27" t="str">
        <x:v>C4</x:v>
      </x:c>
      <x:c r="B89" s="27" t="str">
        <x:v>P8</x:v>
      </x:c>
      <x:c r="C89" s="27" t="str">
        <x:v>Curaduría Museo</x:v>
      </x:c>
      <x:c r="D89" s="41" t="n">
        <x:f>SUMIFS(Asignaciones!$I$6:$I$325,Asignaciones!$C$6:$C$325,B89,Asignaciones!$E$6:$E$325,C89)</x:f>
        <x:v>0.06000000000000001</x:v>
      </x:c>
    </x:row>
    <x:row r="90" ht="27" customHeight="1">
      <x:c r="A90" s="27" t="str">
        <x:v>C4</x:v>
      </x:c>
      <x:c r="B90" s="27" t="str">
        <x:v>P9</x:v>
      </x:c>
      <x:c r="C90" s="27" t="str">
        <x:v>María José Suárez</x:v>
      </x:c>
      <x:c r="D90" s="41" t="n">
        <x:f>SUMIFS(Asignaciones!$I$6:$I$325,Asignaciones!$C$6:$C$325,B90,Asignaciones!$E$6:$E$325,C90)</x:f>
        <x:v>0.05</x:v>
      </x:c>
    </x:row>
    <x:row r="91" ht="27" customHeight="1">
      <x:c r="A91" s="27" t="str">
        <x:v>C4</x:v>
      </x:c>
      <x:c r="B91" s="27" t="str">
        <x:v>P9</x:v>
      </x:c>
      <x:c r="C91" s="27" t="str">
        <x:v>Paola Andrea Ruiz Franco</x:v>
      </x:c>
      <x:c r="D91" s="41" t="n">
        <x:f>SUMIFS(Asignaciones!$I$6:$I$325,Asignaciones!$C$6:$C$325,B91,Asignaciones!$E$6:$E$325,C91)</x:f>
        <x:v>0.1</x:v>
      </x:c>
    </x:row>
    <x:row r="92" ht="27" customHeight="1">
      <x:c r="A92" s="27" t="str">
        <x:v>C4</x:v>
      </x:c>
      <x:c r="B92" s="27" t="str">
        <x:v>P9</x:v>
      </x:c>
      <x:c r="C92" s="27" t="str">
        <x:v>Guillermo Penagos</x:v>
      </x:c>
      <x:c r="D92" s="41" t="n">
        <x:f>SUMIFS(Asignaciones!$I$6:$I$325,Asignaciones!$C$6:$C$325,B92,Asignaciones!$E$6:$E$325,C92)</x:f>
        <x:v>0.05</x:v>
      </x:c>
    </x:row>
    <x:row r="93" ht="27" customHeight="1">
      <x:c r="A93" s="27" t="str">
        <x:v>C4</x:v>
      </x:c>
      <x:c r="B93" s="27" t="str">
        <x:v>P9</x:v>
      </x:c>
      <x:c r="C93" s="27" t="str">
        <x:v>Luis Eduardo Vahos Hernández</x:v>
      </x:c>
      <x:c r="D93" s="41" t="n">
        <x:f>SUMIFS(Asignaciones!$I$6:$I$325,Asignaciones!$C$6:$C$325,B93,Asignaciones!$E$6:$E$325,C93)</x:f>
        <x:v>0.24000000000000005</x:v>
      </x:c>
    </x:row>
    <x:row r="94" ht="27" customHeight="1">
      <x:c r="A94" s="27" t="str">
        <x:v>C4</x:v>
      </x:c>
      <x:c r="B94" s="27" t="str">
        <x:v>P9</x:v>
      </x:c>
      <x:c r="C94" s="27" t="str">
        <x:v>León Darío Orrego Espejo</x:v>
      </x:c>
      <x:c r="D94" s="41" t="n">
        <x:f>SUMIFS(Asignaciones!$I$6:$I$325,Asignaciones!$C$6:$C$325,B94,Asignaciones!$E$6:$E$325,C94)</x:f>
        <x:v>0.30000000000000004</x:v>
      </x:c>
    </x:row>
    <x:row r="95" ht="27" customHeight="1">
      <x:c r="A95" s="27" t="str">
        <x:v>C4</x:v>
      </x:c>
      <x:c r="B95" s="27" t="str">
        <x:v>P9</x:v>
      </x:c>
      <x:c r="C95" s="27" t="str">
        <x:v>Daniel González Montoya</x:v>
      </x:c>
      <x:c r="D95" s="41" t="n">
        <x:f>SUMIFS(Asignaciones!$I$6:$I$325,Asignaciones!$C$6:$C$325,B95,Asignaciones!$E$6:$E$325,C95)</x:f>
        <x:v>0.18000000000000005</x:v>
      </x:c>
    </x:row>
    <x:row r="96" ht="27" customHeight="1">
      <x:c r="A96" s="27" t="str">
        <x:v>C4</x:v>
      </x:c>
      <x:c r="B96" s="27" t="str">
        <x:v>P9</x:v>
      </x:c>
      <x:c r="C96" s="27" t="str">
        <x:v>Sebastián Cartagena</x:v>
      </x:c>
      <x:c r="D96" s="41" t="n">
        <x:f>SUMIFS(Asignaciones!$I$6:$I$325,Asignaciones!$C$6:$C$325,B96,Asignaciones!$E$6:$E$325,C96)</x:f>
        <x:v>0.030000000000000006</x:v>
      </x:c>
    </x:row>
    <x:row r="97" ht="27" customHeight="1">
      <x:c r="A97" s="27" t="str">
        <x:v>C4</x:v>
      </x:c>
      <x:c r="B97" s="27" t="str">
        <x:v>P9</x:v>
      </x:c>
      <x:c r="C97" s="27" t="str">
        <x:v>Juana — Secretaría de Medio Ambiente</x:v>
      </x:c>
      <x:c r="D97" s="41" t="n">
        <x:f>SUMIFS(Asignaciones!$I$6:$I$325,Asignaciones!$C$6:$C$325,B97,Asignaciones!$E$6:$E$325,C97)</x:f>
        <x:v>0.05</x:v>
      </x:c>
    </x:row>
    <x:row r="98" ht="27" customHeight="1">
      <x:c r="A98" s="27" t="str">
        <x:v>C4</x:v>
      </x:c>
      <x:c r="B98" s="27" t="str">
        <x:v>P10</x:v>
      </x:c>
      <x:c r="C98" s="27" t="str">
        <x:v>María José Suárez</x:v>
      </x:c>
      <x:c r="D98" s="41" t="n">
        <x:f>SUMIFS(Asignaciones!$I$6:$I$325,Asignaciones!$C$6:$C$325,B98,Asignaciones!$E$6:$E$325,C98)</x:f>
        <x:v>0.05</x:v>
      </x:c>
    </x:row>
    <x:row r="99" ht="27" customHeight="1">
      <x:c r="A99" s="27" t="str">
        <x:v>C4</x:v>
      </x:c>
      <x:c r="B99" s="27" t="str">
        <x:v>P10</x:v>
      </x:c>
      <x:c r="C99" s="27" t="str">
        <x:v>Paola Andrea Ruiz Franco</x:v>
      </x:c>
      <x:c r="D99" s="41" t="n">
        <x:f>SUMIFS(Asignaciones!$I$6:$I$325,Asignaciones!$C$6:$C$325,B99,Asignaciones!$E$6:$E$325,C99)</x:f>
        <x:v>0.09999999999999999</x:v>
      </x:c>
    </x:row>
    <x:row r="100" ht="27" customHeight="1">
      <x:c r="A100" s="27" t="str">
        <x:v>C4</x:v>
      </x:c>
      <x:c r="B100" s="27" t="str">
        <x:v>P10</x:v>
      </x:c>
      <x:c r="C100" s="27" t="str">
        <x:v>Guillermo Penagos</x:v>
      </x:c>
      <x:c r="D100" s="41" t="n">
        <x:f>SUMIFS(Asignaciones!$I$6:$I$325,Asignaciones!$C$6:$C$325,B100,Asignaciones!$E$6:$E$325,C100)</x:f>
        <x:v>0.05</x:v>
      </x:c>
    </x:row>
    <x:row r="101" ht="27" customHeight="1">
      <x:c r="A101" s="27" t="str">
        <x:v>C4</x:v>
      </x:c>
      <x:c r="B101" s="27" t="str">
        <x:v>P10</x:v>
      </x:c>
      <x:c r="C101" s="27" t="str">
        <x:v>Luis Eduardo Vahos Hernández</x:v>
      </x:c>
      <x:c r="D101" s="41" t="n">
        <x:f>SUMIFS(Asignaciones!$I$6:$I$325,Asignaciones!$C$6:$C$325,B101,Asignaciones!$E$6:$E$325,C101)</x:f>
        <x:v>0.2666666666666666</x:v>
      </x:c>
    </x:row>
    <x:row r="102" ht="27" customHeight="1">
      <x:c r="A102" s="27" t="str">
        <x:v>C4</x:v>
      </x:c>
      <x:c r="B102" s="27" t="str">
        <x:v>P10</x:v>
      </x:c>
      <x:c r="C102" s="27" t="str">
        <x:v>León Darío Orrego Espejo</x:v>
      </x:c>
      <x:c r="D102" s="41" t="n">
        <x:f>SUMIFS(Asignaciones!$I$6:$I$325,Asignaciones!$C$6:$C$325,B102,Asignaciones!$E$6:$E$325,C102)</x:f>
        <x:v>0.19166666666666665</x:v>
      </x:c>
    </x:row>
    <x:row r="103" ht="27" customHeight="1">
      <x:c r="A103" s="27" t="str">
        <x:v>C4</x:v>
      </x:c>
      <x:c r="B103" s="27" t="str">
        <x:v>P10</x:v>
      </x:c>
      <x:c r="C103" s="27" t="str">
        <x:v>Daniel González Montoya</x:v>
      </x:c>
      <x:c r="D103" s="41" t="n">
        <x:f>SUMIFS(Asignaciones!$I$6:$I$325,Asignaciones!$C$6:$C$325,B103,Asignaciones!$E$6:$E$325,C103)</x:f>
        <x:v>0.11666666666666664</x:v>
      </x:c>
    </x:row>
    <x:row r="104" ht="27" customHeight="1">
      <x:c r="A104" s="27" t="str">
        <x:v>C4</x:v>
      </x:c>
      <x:c r="B104" s="27" t="str">
        <x:v>P10</x:v>
      </x:c>
      <x:c r="C104" s="27" t="str">
        <x:v>Sebastián Cartagena</x:v>
      </x:c>
      <x:c r="D104" s="41" t="n">
        <x:f>SUMIFS(Asignaciones!$I$6:$I$325,Asignaciones!$C$6:$C$325,B104,Asignaciones!$E$6:$E$325,C104)</x:f>
        <x:v>0.11666666666666664</x:v>
      </x:c>
    </x:row>
    <x:row r="105" ht="27" customHeight="1">
      <x:c r="A105" s="27" t="str">
        <x:v>C4</x:v>
      </x:c>
      <x:c r="B105" s="27" t="str">
        <x:v>P10</x:v>
      </x:c>
      <x:c r="C105" s="27" t="str">
        <x:v>Liliana Restrepo</x:v>
      </x:c>
      <x:c r="D105" s="41" t="n">
        <x:f>SUMIFS(Asignaciones!$I$6:$I$325,Asignaciones!$C$6:$C$325,B105,Asignaciones!$E$6:$E$325,C105)</x:f>
        <x:v>0.05833333333333332</x:v>
      </x:c>
    </x:row>
    <x:row r="106" ht="27" customHeight="1">
      <x:c r="A106" s="27" t="str">
        <x:v>C4</x:v>
      </x:c>
      <x:c r="B106" s="27" t="str">
        <x:v>P10</x:v>
      </x:c>
      <x:c r="C106" s="27" t="str">
        <x:v>Juana — Secretaría de Medio Ambiente</x:v>
      </x:c>
      <x:c r="D106" s="41" t="n">
        <x:f>SUMIFS(Asignaciones!$I$6:$I$325,Asignaciones!$C$6:$C$325,B106,Asignaciones!$E$6:$E$325,C106)</x:f>
        <x:v>0.05</x:v>
      </x:c>
    </x:row>
    <x:row r="107" ht="27" customHeight="1">
      <x:c r="A107" s="27" t="str">
        <x:v>C5</x:v>
      </x:c>
      <x:c r="B107" s="27" t="str">
        <x:v>P11</x:v>
      </x:c>
      <x:c r="C107" s="27" t="str">
        <x:v>María José Suárez</x:v>
      </x:c>
      <x:c r="D107" s="41" t="n">
        <x:f>SUMIFS(Asignaciones!$I$6:$I$325,Asignaciones!$C$6:$C$325,B107,Asignaciones!$E$6:$E$325,C107)</x:f>
        <x:v>0.05</x:v>
      </x:c>
    </x:row>
    <x:row r="108" ht="27" customHeight="1">
      <x:c r="A108" s="27" t="str">
        <x:v>C5</x:v>
      </x:c>
      <x:c r="B108" s="27" t="str">
        <x:v>P11</x:v>
      </x:c>
      <x:c r="C108" s="27" t="str">
        <x:v>Paola Andrea Ruiz Franco</x:v>
      </x:c>
      <x:c r="D108" s="41" t="n">
        <x:f>SUMIFS(Asignaciones!$I$6:$I$325,Asignaciones!$C$6:$C$325,B108,Asignaciones!$E$6:$E$325,C108)</x:f>
        <x:v>0.09999999999999999</x:v>
      </x:c>
    </x:row>
    <x:row r="109" ht="27" customHeight="1">
      <x:c r="A109" s="27" t="str">
        <x:v>C5</x:v>
      </x:c>
      <x:c r="B109" s="27" t="str">
        <x:v>P11</x:v>
      </x:c>
      <x:c r="C109" s="27" t="str">
        <x:v>Juliana Valencia</x:v>
      </x:c>
      <x:c r="D109" s="41" t="n">
        <x:f>SUMIFS(Asignaciones!$I$6:$I$325,Asignaciones!$C$6:$C$325,B109,Asignaciones!$E$6:$E$325,C109)</x:f>
        <x:v>0.10714285714285714</x:v>
      </x:c>
    </x:row>
    <x:row r="110" ht="27" customHeight="1">
      <x:c r="A110" s="27" t="str">
        <x:v>C5</x:v>
      </x:c>
      <x:c r="B110" s="27" t="str">
        <x:v>P11</x:v>
      </x:c>
      <x:c r="C110" s="27" t="str">
        <x:v>Jeiner de Jesús Castellanos Barliza</x:v>
      </x:c>
      <x:c r="D110" s="41" t="n">
        <x:f>SUMIFS(Asignaciones!$I$6:$I$325,Asignaciones!$C$6:$C$325,B110,Asignaciones!$E$6:$E$325,C110)</x:f>
        <x:v>0.05357142857142857</x:v>
      </x:c>
    </x:row>
    <x:row r="111" ht="27" customHeight="1">
      <x:c r="A111" s="27" t="str">
        <x:v>C5</x:v>
      </x:c>
      <x:c r="B111" s="27" t="str">
        <x:v>P11</x:v>
      </x:c>
      <x:c r="C111" s="27" t="str">
        <x:v>Marcos Arango Tamayo</x:v>
      </x:c>
      <x:c r="D111" s="41" t="n">
        <x:f>SUMIFS(Asignaciones!$I$6:$I$325,Asignaciones!$C$6:$C$325,B111,Asignaciones!$E$6:$E$325,C111)</x:f>
        <x:v>0.10714285714285714</x:v>
      </x:c>
    </x:row>
    <x:row r="112" ht="27" customHeight="1">
      <x:c r="A112" s="27" t="str">
        <x:v>C5</x:v>
      </x:c>
      <x:c r="B112" s="27" t="str">
        <x:v>P11</x:v>
      </x:c>
      <x:c r="C112" s="27" t="str">
        <x:v>Diana Carolina Ríos Echeverri</x:v>
      </x:c>
      <x:c r="D112" s="41" t="n">
        <x:f>SUMIFS(Asignaciones!$I$6:$I$325,Asignaciones!$C$6:$C$325,B112,Asignaciones!$E$6:$E$325,C112)</x:f>
        <x:v>0.10714285714285714</x:v>
      </x:c>
    </x:row>
    <x:row r="113" ht="27" customHeight="1">
      <x:c r="A113" s="27" t="str">
        <x:v>C5</x:v>
      </x:c>
      <x:c r="B113" s="27" t="str">
        <x:v>P11</x:v>
      </x:c>
      <x:c r="C113" s="27" t="str">
        <x:v>Vanessa García Leoz</x:v>
      </x:c>
      <x:c r="D113" s="41" t="n">
        <x:f>SUMIFS(Asignaciones!$I$6:$I$325,Asignaciones!$C$6:$C$325,B113,Asignaciones!$E$6:$E$325,C113)</x:f>
        <x:v>0.10714285714285714</x:v>
      </x:c>
    </x:row>
    <x:row r="114" ht="27" customHeight="1">
      <x:c r="A114" s="27" t="str">
        <x:v>C5</x:v>
      </x:c>
      <x:c r="B114" s="27" t="str">
        <x:v>P11</x:v>
      </x:c>
      <x:c r="C114" s="27" t="str">
        <x:v>Alejandro Silva Cortés</x:v>
      </x:c>
      <x:c r="D114" s="41" t="n">
        <x:f>SUMIFS(Asignaciones!$I$6:$I$325,Asignaciones!$C$6:$C$325,B114,Asignaciones!$E$6:$E$325,C114)</x:f>
        <x:v>0.10714285714285714</x:v>
      </x:c>
    </x:row>
    <x:row r="115" ht="27" customHeight="1">
      <x:c r="A115" s="27" t="str">
        <x:v>C5</x:v>
      </x:c>
      <x:c r="B115" s="27" t="str">
        <x:v>P11</x:v>
      </x:c>
      <x:c r="C115" s="27" t="str">
        <x:v>Guillermo Penagos</x:v>
      </x:c>
      <x:c r="D115" s="41" t="n">
        <x:f>SUMIFS(Asignaciones!$I$6:$I$325,Asignaciones!$C$6:$C$325,B115,Asignaciones!$E$6:$E$325,C115)</x:f>
        <x:v>0.05</x:v>
      </x:c>
    </x:row>
    <x:row r="116" ht="27" customHeight="1">
      <x:c r="A116" s="27" t="str">
        <x:v>C5</x:v>
      </x:c>
      <x:c r="B116" s="27" t="str">
        <x:v>P11</x:v>
      </x:c>
      <x:c r="C116" s="27" t="str">
        <x:v>Sebastián Cartagena</x:v>
      </x:c>
      <x:c r="D116" s="41" t="n">
        <x:f>SUMIFS(Asignaciones!$I$6:$I$325,Asignaciones!$C$6:$C$325,B116,Asignaciones!$E$6:$E$325,C116)</x:f>
        <x:v>0.10714285714285714</x:v>
      </x:c>
    </x:row>
    <x:row r="117" ht="27" customHeight="1">
      <x:c r="A117" s="27" t="str">
        <x:v>C5</x:v>
      </x:c>
      <x:c r="B117" s="27" t="str">
        <x:v>P11</x:v>
      </x:c>
      <x:c r="C117" s="27" t="str">
        <x:v>Liliana Restrepo</x:v>
      </x:c>
      <x:c r="D117" s="41" t="n">
        <x:f>SUMIFS(Asignaciones!$I$6:$I$325,Asignaciones!$C$6:$C$325,B117,Asignaciones!$E$6:$E$325,C117)</x:f>
        <x:v>0.05357142857142857</x:v>
      </x:c>
    </x:row>
    <x:row r="118" ht="27" customHeight="1">
      <x:c r="A118" s="27" t="str">
        <x:v>C5</x:v>
      </x:c>
      <x:c r="B118" s="27" t="str">
        <x:v>P11</x:v>
      </x:c>
      <x:c r="C118" s="27" t="str">
        <x:v>Juana — Secretaría de Medio Ambiente</x:v>
      </x:c>
      <x:c r="D118" s="41" t="n">
        <x:f>SUMIFS(Asignaciones!$I$6:$I$325,Asignaciones!$C$6:$C$325,B118,Asignaciones!$E$6:$E$325,C118)</x:f>
        <x:v>0.05</x:v>
      </x:c>
    </x:row>
    <x:row r="119" ht="27" customHeight="1">
      <x:c r="A119" s="27" t="str">
        <x:v>C5</x:v>
      </x:c>
      <x:c r="B119" s="27" t="str">
        <x:v>P12</x:v>
      </x:c>
      <x:c r="C119" s="27" t="str">
        <x:v>María José Suárez</x:v>
      </x:c>
      <x:c r="D119" s="41" t="n">
        <x:f>SUMIFS(Asignaciones!$I$6:$I$325,Asignaciones!$C$6:$C$325,B119,Asignaciones!$E$6:$E$325,C119)</x:f>
        <x:v>0.05</x:v>
      </x:c>
    </x:row>
    <x:row r="120" ht="27" customHeight="1">
      <x:c r="A120" s="27" t="str">
        <x:v>C5</x:v>
      </x:c>
      <x:c r="B120" s="27" t="str">
        <x:v>P12</x:v>
      </x:c>
      <x:c r="C120" s="27" t="str">
        <x:v>Paola Andrea Ruiz Franco</x:v>
      </x:c>
      <x:c r="D120" s="41" t="n">
        <x:f>SUMIFS(Asignaciones!$I$6:$I$325,Asignaciones!$C$6:$C$325,B120,Asignaciones!$E$6:$E$325,C120)</x:f>
        <x:v>0.1</x:v>
      </x:c>
    </x:row>
    <x:row r="121" ht="27" customHeight="1">
      <x:c r="A121" s="27" t="str">
        <x:v>C5</x:v>
      </x:c>
      <x:c r="B121" s="27" t="str">
        <x:v>P12</x:v>
      </x:c>
      <x:c r="C121" s="27" t="str">
        <x:v>Juliana Valencia</x:v>
      </x:c>
      <x:c r="D121" s="41" t="n">
        <x:f>SUMIFS(Asignaciones!$I$6:$I$325,Asignaciones!$C$6:$C$325,B121,Asignaciones!$E$6:$E$325,C121)</x:f>
        <x:v>0.046875</x:v>
      </x:c>
    </x:row>
    <x:row r="122" ht="27" customHeight="1">
      <x:c r="A122" s="27" t="str">
        <x:v>C5</x:v>
      </x:c>
      <x:c r="B122" s="27" t="str">
        <x:v>P12</x:v>
      </x:c>
      <x:c r="C122" s="27" t="str">
        <x:v>Marcos Arango Tamayo</x:v>
      </x:c>
      <x:c r="D122" s="41" t="n">
        <x:f>SUMIFS(Asignaciones!$I$6:$I$325,Asignaciones!$C$6:$C$325,B122,Asignaciones!$E$6:$E$325,C122)</x:f>
        <x:v>0.09375</x:v>
      </x:c>
    </x:row>
    <x:row r="123" ht="27" customHeight="1">
      <x:c r="A123" s="27" t="str">
        <x:v>C5</x:v>
      </x:c>
      <x:c r="B123" s="27" t="str">
        <x:v>P12</x:v>
      </x:c>
      <x:c r="C123" s="27" t="str">
        <x:v>Diana Carolina Ríos Echeverri</x:v>
      </x:c>
      <x:c r="D123" s="41" t="n">
        <x:f>SUMIFS(Asignaciones!$I$6:$I$325,Asignaciones!$C$6:$C$325,B123,Asignaciones!$E$6:$E$325,C123)</x:f>
        <x:v>0.26875</x:v>
      </x:c>
    </x:row>
    <x:row r="124" ht="27" customHeight="1">
      <x:c r="A124" s="27" t="str">
        <x:v>C5</x:v>
      </x:c>
      <x:c r="B124" s="27" t="str">
        <x:v>P12</x:v>
      </x:c>
      <x:c r="C124" s="27" t="str">
        <x:v>Vanessa García Leoz</x:v>
      </x:c>
      <x:c r="D124" s="41" t="n">
        <x:f>SUMIFS(Asignaciones!$I$6:$I$325,Asignaciones!$C$6:$C$325,B124,Asignaciones!$E$6:$E$325,C124)</x:f>
        <x:v>0.046875</x:v>
      </x:c>
    </x:row>
    <x:row r="125" ht="27" customHeight="1">
      <x:c r="A125" s="27" t="str">
        <x:v>C5</x:v>
      </x:c>
      <x:c r="B125" s="27" t="str">
        <x:v>P12</x:v>
      </x:c>
      <x:c r="C125" s="27" t="str">
        <x:v>Alejandro Silva Cortés</x:v>
      </x:c>
      <x:c r="D125" s="41" t="n">
        <x:f>SUMIFS(Asignaciones!$I$6:$I$325,Asignaciones!$C$6:$C$325,B125,Asignaciones!$E$6:$E$325,C125)</x:f>
        <x:v>0.24375</x:v>
      </x:c>
    </x:row>
    <x:row r="126" ht="27" customHeight="1">
      <x:c r="A126" s="27" t="str">
        <x:v>C5</x:v>
      </x:c>
      <x:c r="B126" s="27" t="str">
        <x:v>P12</x:v>
      </x:c>
      <x:c r="C126" s="27" t="str">
        <x:v>Guillermo Penagos</x:v>
      </x:c>
      <x:c r="D126" s="41" t="n">
        <x:f>SUMIFS(Asignaciones!$I$6:$I$325,Asignaciones!$C$6:$C$325,B126,Asignaciones!$E$6:$E$325,C126)</x:f>
        <x:v>0.05</x:v>
      </x:c>
    </x:row>
    <x:row r="127" ht="27" customHeight="1">
      <x:c r="A127" s="27" t="str">
        <x:v>C5</x:v>
      </x:c>
      <x:c r="B127" s="27" t="str">
        <x:v>P12</x:v>
      </x:c>
      <x:c r="C127" s="27" t="str">
        <x:v>Sebastián Cartagena</x:v>
      </x:c>
      <x:c r="D127" s="41" t="n">
        <x:f>SUMIFS(Asignaciones!$I$6:$I$325,Asignaciones!$C$6:$C$325,B127,Asignaciones!$E$6:$E$325,C127)</x:f>
        <x:v>0.05</x:v>
      </x:c>
    </x:row>
    <x:row r="128" ht="27" customHeight="1">
      <x:c r="A128" s="27" t="str">
        <x:v>C5</x:v>
      </x:c>
      <x:c r="B128" s="27" t="str">
        <x:v>P12</x:v>
      </x:c>
      <x:c r="C128" s="27" t="str">
        <x:v>Juana — Secretaría de Medio Ambiente</x:v>
      </x:c>
      <x:c r="D128" s="41" t="n">
        <x:f>SUMIFS(Asignaciones!$I$6:$I$325,Asignaciones!$C$6:$C$325,B128,Asignaciones!$E$6:$E$325,C128)</x:f>
        <x:v>0.05</x:v>
      </x:c>
    </x:row>
    <x:row r="129" ht="27" customHeight="1">
      <x:c r="A129" s="27" t="str">
        <x:v>C5</x:v>
      </x:c>
      <x:c r="B129" s="27" t="str">
        <x:v>P13</x:v>
      </x:c>
      <x:c r="C129" s="27" t="str">
        <x:v>María José Suárez</x:v>
      </x:c>
      <x:c r="D129" s="41" t="n">
        <x:f>SUMIFS(Asignaciones!$I$6:$I$325,Asignaciones!$C$6:$C$325,B129,Asignaciones!$E$6:$E$325,C129)</x:f>
        <x:v>0.05</x:v>
      </x:c>
    </x:row>
    <x:row r="130" ht="27" customHeight="1">
      <x:c r="A130" s="27" t="str">
        <x:v>C5</x:v>
      </x:c>
      <x:c r="B130" s="27" t="str">
        <x:v>P13</x:v>
      </x:c>
      <x:c r="C130" s="27" t="str">
        <x:v>Paola Andrea Ruiz Franco</x:v>
      </x:c>
      <x:c r="D130" s="41" t="n">
        <x:f>SUMIFS(Asignaciones!$I$6:$I$325,Asignaciones!$C$6:$C$325,B130,Asignaciones!$E$6:$E$325,C130)</x:f>
        <x:v>0.09999999999999999</x:v>
      </x:c>
    </x:row>
    <x:row r="131" ht="27" customHeight="1">
      <x:c r="A131" s="27" t="str">
        <x:v>C5</x:v>
      </x:c>
      <x:c r="B131" s="27" t="str">
        <x:v>P13</x:v>
      </x:c>
      <x:c r="C131" s="27" t="str">
        <x:v>Diana Carolina Ríos Echeverri</x:v>
      </x:c>
      <x:c r="D131" s="41" t="n">
        <x:f>SUMIFS(Asignaciones!$I$6:$I$325,Asignaciones!$C$6:$C$325,B131,Asignaciones!$E$6:$E$325,C131)</x:f>
        <x:v>0.1875</x:v>
      </x:c>
    </x:row>
    <x:row r="132" ht="27" customHeight="1">
      <x:c r="A132" s="27" t="str">
        <x:v>C5</x:v>
      </x:c>
      <x:c r="B132" s="27" t="str">
        <x:v>P13</x:v>
      </x:c>
      <x:c r="C132" s="27" t="str">
        <x:v>Alejandro Silva Cortés</x:v>
      </x:c>
      <x:c r="D132" s="41" t="n">
        <x:f>SUMIFS(Asignaciones!$I$6:$I$325,Asignaciones!$C$6:$C$325,B132,Asignaciones!$E$6:$E$325,C132)</x:f>
        <x:v>0.375</x:v>
      </x:c>
    </x:row>
    <x:row r="133" ht="27" customHeight="1">
      <x:c r="A133" s="27" t="str">
        <x:v>C5</x:v>
      </x:c>
      <x:c r="B133" s="27" t="str">
        <x:v>P13</x:v>
      </x:c>
      <x:c r="C133" s="27" t="str">
        <x:v>Guillermo Penagos</x:v>
      </x:c>
      <x:c r="D133" s="41" t="n">
        <x:f>SUMIFS(Asignaciones!$I$6:$I$325,Asignaciones!$C$6:$C$325,B133,Asignaciones!$E$6:$E$325,C133)</x:f>
        <x:v>0.05</x:v>
      </x:c>
    </x:row>
    <x:row r="134" ht="27" customHeight="1">
      <x:c r="A134" s="27" t="str">
        <x:v>C5</x:v>
      </x:c>
      <x:c r="B134" s="27" t="str">
        <x:v>P13</x:v>
      </x:c>
      <x:c r="C134" s="27" t="str">
        <x:v>Daniel González Montoya</x:v>
      </x:c>
      <x:c r="D134" s="41" t="n">
        <x:f>SUMIFS(Asignaciones!$I$6:$I$325,Asignaciones!$C$6:$C$325,B134,Asignaciones!$E$6:$E$325,C134)</x:f>
        <x:v>0.0625</x:v>
      </x:c>
    </x:row>
    <x:row r="135" ht="27" customHeight="1">
      <x:c r="A135" s="27" t="str">
        <x:v>C5</x:v>
      </x:c>
      <x:c r="B135" s="27" t="str">
        <x:v>P13</x:v>
      </x:c>
      <x:c r="C135" s="27" t="str">
        <x:v>Sebastián Cartagena</x:v>
      </x:c>
      <x:c r="D135" s="41" t="n">
        <x:f>SUMIFS(Asignaciones!$I$6:$I$325,Asignaciones!$C$6:$C$325,B135,Asignaciones!$E$6:$E$325,C135)</x:f>
        <x:v>0.125</x:v>
      </x:c>
    </x:row>
    <x:row r="136" ht="27" customHeight="1">
      <x:c r="A136" s="27" t="str">
        <x:v>C5</x:v>
      </x:c>
      <x:c r="B136" s="27" t="str">
        <x:v>P13</x:v>
      </x:c>
      <x:c r="C136" s="27" t="str">
        <x:v>Juana — Secretaría de Medio Ambiente</x:v>
      </x:c>
      <x:c r="D136" s="41" t="n">
        <x:f>SUMIFS(Asignaciones!$I$6:$I$325,Asignaciones!$C$6:$C$325,B136,Asignaciones!$E$6:$E$325,C136)</x:f>
        <x:v>0.05</x:v>
      </x:c>
    </x:row>
    <x:row r="137" ht="27" customHeight="1">
      <x:c r="A137" s="27" t="str">
        <x:v>C5</x:v>
      </x:c>
      <x:c r="B137" s="27" t="str">
        <x:v>P14</x:v>
      </x:c>
      <x:c r="C137" s="27" t="str">
        <x:v>María José Suárez</x:v>
      </x:c>
      <x:c r="D137" s="41" t="n">
        <x:f>SUMIFS(Asignaciones!$I$6:$I$325,Asignaciones!$C$6:$C$325,B137,Asignaciones!$E$6:$E$325,C137)</x:f>
        <x:v>0.05</x:v>
      </x:c>
    </x:row>
    <x:row r="138" ht="27" customHeight="1">
      <x:c r="A138" s="27" t="str">
        <x:v>C5</x:v>
      </x:c>
      <x:c r="B138" s="27" t="str">
        <x:v>P14</x:v>
      </x:c>
      <x:c r="C138" s="27" t="str">
        <x:v>Paola Andrea Ruiz Franco</x:v>
      </x:c>
      <x:c r="D138" s="41" t="n">
        <x:f>SUMIFS(Asignaciones!$I$6:$I$325,Asignaciones!$C$6:$C$325,B138,Asignaciones!$E$6:$E$325,C138)</x:f>
        <x:v>0.1</x:v>
      </x:c>
    </x:row>
    <x:row r="139" ht="27" customHeight="1">
      <x:c r="A139" s="27" t="str">
        <x:v>C5</x:v>
      </x:c>
      <x:c r="B139" s="27" t="str">
        <x:v>P14</x:v>
      </x:c>
      <x:c r="C139" s="27" t="str">
        <x:v>Juliana Valencia</x:v>
      </x:c>
      <x:c r="D139" s="41" t="n">
        <x:f>SUMIFS(Asignaciones!$I$6:$I$325,Asignaciones!$C$6:$C$325,B139,Asignaciones!$E$6:$E$325,C139)</x:f>
        <x:v>0.1125</x:v>
      </x:c>
    </x:row>
    <x:row r="140" ht="27" customHeight="1">
      <x:c r="A140" s="27" t="str">
        <x:v>C5</x:v>
      </x:c>
      <x:c r="B140" s="27" t="str">
        <x:v>P14</x:v>
      </x:c>
      <x:c r="C140" s="27" t="str">
        <x:v>Guillermo Penagos</x:v>
      </x:c>
      <x:c r="D140" s="41" t="n">
        <x:f>SUMIFS(Asignaciones!$I$6:$I$325,Asignaciones!$C$6:$C$325,B140,Asignaciones!$E$6:$E$325,C140)</x:f>
        <x:v>0.05</x:v>
      </x:c>
    </x:row>
    <x:row r="141" ht="27" customHeight="1">
      <x:c r="A141" s="27" t="str">
        <x:v>C5</x:v>
      </x:c>
      <x:c r="B141" s="27" t="str">
        <x:v>P14</x:v>
      </x:c>
      <x:c r="C141" s="27" t="str">
        <x:v>Luis Eduardo Vahos Hernández</x:v>
      </x:c>
      <x:c r="D141" s="41" t="n">
        <x:f>SUMIFS(Asignaciones!$I$6:$I$325,Asignaciones!$C$6:$C$325,B141,Asignaciones!$E$6:$E$325,C141)</x:f>
        <x:v>0.12321428571428572</x:v>
      </x:c>
    </x:row>
    <x:row r="142" ht="27" customHeight="1">
      <x:c r="A142" s="27" t="str">
        <x:v>C5</x:v>
      </x:c>
      <x:c r="B142" s="27" t="str">
        <x:v>P14</x:v>
      </x:c>
      <x:c r="C142" s="27" t="str">
        <x:v>León Darío Orrego Espejo</x:v>
      </x:c>
      <x:c r="D142" s="41" t="n">
        <x:f>SUMIFS(Asignaciones!$I$6:$I$325,Asignaciones!$C$6:$C$325,B142,Asignaciones!$E$6:$E$325,C142)</x:f>
        <x:v>0.1607142857142857</x:v>
      </x:c>
    </x:row>
    <x:row r="143" ht="27" customHeight="1">
      <x:c r="A143" s="27" t="str">
        <x:v>C5</x:v>
      </x:c>
      <x:c r="B143" s="27" t="str">
        <x:v>P14</x:v>
      </x:c>
      <x:c r="C143" s="27" t="str">
        <x:v>Daniel González Montoya</x:v>
      </x:c>
      <x:c r="D143" s="41" t="n">
        <x:f>SUMIFS(Asignaciones!$I$6:$I$325,Asignaciones!$C$6:$C$325,B143,Asignaciones!$E$6:$E$325,C143)</x:f>
        <x:v>0.23571428571428574</x:v>
      </x:c>
    </x:row>
    <x:row r="144" ht="27" customHeight="1">
      <x:c r="A144" s="27" t="str">
        <x:v>C5</x:v>
      </x:c>
      <x:c r="B144" s="27" t="str">
        <x:v>P14</x:v>
      </x:c>
      <x:c r="C144" s="27" t="str">
        <x:v>Sebastián Cartagena</x:v>
      </x:c>
      <x:c r="D144" s="41" t="n">
        <x:f>SUMIFS(Asignaciones!$I$6:$I$325,Asignaciones!$C$6:$C$325,B144,Asignaciones!$E$6:$E$325,C144)</x:f>
        <x:v>0.11785714285714285</x:v>
      </x:c>
    </x:row>
    <x:row r="145" ht="27" customHeight="1">
      <x:c r="A145" s="27" t="str">
        <x:v>C5</x:v>
      </x:c>
      <x:c r="B145" s="27" t="str">
        <x:v>P14</x:v>
      </x:c>
      <x:c r="C145" s="27" t="str">
        <x:v>Juana — Secretaría de Medio Ambiente</x:v>
      </x:c>
      <x:c r="D145" s="41" t="n">
        <x:f>SUMIFS(Asignaciones!$I$6:$I$325,Asignaciones!$C$6:$C$325,B145,Asignaciones!$E$6:$E$325,C145)</x:f>
        <x:v>0.05</x:v>
      </x:c>
    </x:row>
    <x:row r="146" ht="27" customHeight="1">
      <x:c r="A146" s="27" t="str">
        <x:v>C6</x:v>
      </x:c>
      <x:c r="B146" s="27" t="str">
        <x:v>P15</x:v>
      </x:c>
      <x:c r="C146" s="27" t="str">
        <x:v>María José Suárez</x:v>
      </x:c>
      <x:c r="D146" s="41" t="n">
        <x:f>SUMIFS(Asignaciones!$I$6:$I$325,Asignaciones!$C$6:$C$325,B146,Asignaciones!$E$6:$E$325,C146)</x:f>
        <x:v>0.05</x:v>
      </x:c>
    </x:row>
    <x:row r="147" ht="27" customHeight="1">
      <x:c r="A147" s="27" t="str">
        <x:v>C6</x:v>
      </x:c>
      <x:c r="B147" s="27" t="str">
        <x:v>P15</x:v>
      </x:c>
      <x:c r="C147" s="27" t="str">
        <x:v>Paola Andrea Ruiz Franco</x:v>
      </x:c>
      <x:c r="D147" s="41" t="n">
        <x:f>SUMIFS(Asignaciones!$I$6:$I$325,Asignaciones!$C$6:$C$325,B147,Asignaciones!$E$6:$E$325,C147)</x:f>
        <x:v>0.09999999999999999</x:v>
      </x:c>
    </x:row>
    <x:row r="148" ht="27" customHeight="1">
      <x:c r="A148" s="27" t="str">
        <x:v>C6</x:v>
      </x:c>
      <x:c r="B148" s="27" t="str">
        <x:v>P15</x:v>
      </x:c>
      <x:c r="C148" s="27" t="str">
        <x:v>Guillermo Penagos</x:v>
      </x:c>
      <x:c r="D148" s="41" t="n">
        <x:f>SUMIFS(Asignaciones!$I$6:$I$325,Asignaciones!$C$6:$C$325,B148,Asignaciones!$E$6:$E$325,C148)</x:f>
        <x:v>0.05</x:v>
      </x:c>
    </x:row>
    <x:row r="149" ht="27" customHeight="1">
      <x:c r="A149" s="27" t="str">
        <x:v>C6</x:v>
      </x:c>
      <x:c r="B149" s="27" t="str">
        <x:v>P15</x:v>
      </x:c>
      <x:c r="C149" s="27" t="str">
        <x:v>Sebastián Cartagena</x:v>
      </x:c>
      <x:c r="D149" s="41" t="n">
        <x:f>SUMIFS(Asignaciones!$I$6:$I$325,Asignaciones!$C$6:$C$325,B149,Asignaciones!$E$6:$E$325,C149)</x:f>
        <x:v>0.345</x:v>
      </x:c>
    </x:row>
    <x:row r="150" ht="27" customHeight="1">
      <x:c r="A150" s="27" t="str">
        <x:v>C6</x:v>
      </x:c>
      <x:c r="B150" s="27" t="str">
        <x:v>P15</x:v>
      </x:c>
      <x:c r="C150" s="27" t="str">
        <x:v>Liliana Restrepo</x:v>
      </x:c>
      <x:c r="D150" s="41" t="n">
        <x:f>SUMIFS(Asignaciones!$I$6:$I$325,Asignaciones!$C$6:$C$325,B150,Asignaciones!$E$6:$E$325,C150)</x:f>
        <x:v>0.2025</x:v>
      </x:c>
    </x:row>
    <x:row r="151" ht="27" customHeight="1">
      <x:c r="A151" s="27" t="str">
        <x:v>C6</x:v>
      </x:c>
      <x:c r="B151" s="27" t="str">
        <x:v>P15</x:v>
      </x:c>
      <x:c r="C151" s="27" t="str">
        <x:v>Juana — Secretaría de Medio Ambiente</x:v>
      </x:c>
      <x:c r="D151" s="41" t="n">
        <x:f>SUMIFS(Asignaciones!$I$6:$I$325,Asignaciones!$C$6:$C$325,B151,Asignaciones!$E$6:$E$325,C151)</x:f>
        <x:v>0.05</x:v>
      </x:c>
    </x:row>
    <x:row r="152" ht="27" customHeight="1">
      <x:c r="A152" s="27" t="str">
        <x:v>C6</x:v>
      </x:c>
      <x:c r="B152" s="27" t="str">
        <x:v>P15</x:v>
      </x:c>
      <x:c r="C152" s="27" t="str">
        <x:v>Curaduría Museo</x:v>
      </x:c>
      <x:c r="D152" s="41" t="n">
        <x:f>SUMIFS(Asignaciones!$I$6:$I$325,Asignaciones!$C$6:$C$325,B152,Asignaciones!$E$6:$E$325,C152)</x:f>
        <x:v>0.2025</x:v>
      </x:c>
    </x:row>
    <x:row r="153" ht="27" customHeight="1">
      <x:c r="A153" s="27" t="str">
        <x:v>C6</x:v>
      </x:c>
      <x:c r="B153" s="27" t="str">
        <x:v>P16</x:v>
      </x:c>
      <x:c r="C153" s="27" t="str">
        <x:v>María José Suárez</x:v>
      </x:c>
      <x:c r="D153" s="41" t="n">
        <x:f>SUMIFS(Asignaciones!$I$6:$I$325,Asignaciones!$C$6:$C$325,B153,Asignaciones!$E$6:$E$325,C153)</x:f>
        <x:v>0.05</x:v>
      </x:c>
    </x:row>
    <x:row r="154" ht="27" customHeight="1">
      <x:c r="A154" s="27" t="str">
        <x:v>C6</x:v>
      </x:c>
      <x:c r="B154" s="27" t="str">
        <x:v>P16</x:v>
      </x:c>
      <x:c r="C154" s="27" t="str">
        <x:v>Paola Andrea Ruiz Franco</x:v>
      </x:c>
      <x:c r="D154" s="41" t="n">
        <x:f>SUMIFS(Asignaciones!$I$6:$I$325,Asignaciones!$C$6:$C$325,B154,Asignaciones!$E$6:$E$325,C154)</x:f>
        <x:v>0.09999999999999999</x:v>
      </x:c>
    </x:row>
    <x:row r="155" ht="27" customHeight="1">
      <x:c r="A155" s="27" t="str">
        <x:v>C6</x:v>
      </x:c>
      <x:c r="B155" s="27" t="str">
        <x:v>P16</x:v>
      </x:c>
      <x:c r="C155" s="27" t="str">
        <x:v>Juliana Valencia</x:v>
      </x:c>
      <x:c r="D155" s="41" t="n">
        <x:f>SUMIFS(Asignaciones!$I$6:$I$325,Asignaciones!$C$6:$C$325,B155,Asignaciones!$E$6:$E$325,C155)</x:f>
        <x:v>0.0375</x:v>
      </x:c>
    </x:row>
    <x:row r="156" ht="27" customHeight="1">
      <x:c r="A156" s="27" t="str">
        <x:v>C6</x:v>
      </x:c>
      <x:c r="B156" s="27" t="str">
        <x:v>P16</x:v>
      </x:c>
      <x:c r="C156" s="27" t="str">
        <x:v>Marcos Arango Tamayo</x:v>
      </x:c>
      <x:c r="D156" s="41" t="n">
        <x:f>SUMIFS(Asignaciones!$I$6:$I$325,Asignaciones!$C$6:$C$325,B156,Asignaciones!$E$6:$E$325,C156)</x:f>
        <x:v>0.0375</x:v>
      </x:c>
    </x:row>
    <x:row r="157" ht="27" customHeight="1">
      <x:c r="A157" s="27" t="str">
        <x:v>C6</x:v>
      </x:c>
      <x:c r="B157" s="27" t="str">
        <x:v>P16</x:v>
      </x:c>
      <x:c r="C157" s="27" t="str">
        <x:v>Vanessa García Leoz</x:v>
      </x:c>
      <x:c r="D157" s="41" t="n">
        <x:f>SUMIFS(Asignaciones!$I$6:$I$325,Asignaciones!$C$6:$C$325,B157,Asignaciones!$E$6:$E$325,C157)</x:f>
        <x:v>0.0375</x:v>
      </x:c>
    </x:row>
    <x:row r="158" ht="27" customHeight="1">
      <x:c r="A158" s="27" t="str">
        <x:v>C6</x:v>
      </x:c>
      <x:c r="B158" s="27" t="str">
        <x:v>P16</x:v>
      </x:c>
      <x:c r="C158" s="27" t="str">
        <x:v>Alejandro Silva Cortés</x:v>
      </x:c>
      <x:c r="D158" s="41" t="n">
        <x:f>SUMIFS(Asignaciones!$I$6:$I$325,Asignaciones!$C$6:$C$325,B158,Asignaciones!$E$6:$E$325,C158)</x:f>
        <x:v>0.0375</x:v>
      </x:c>
    </x:row>
    <x:row r="159" ht="27" customHeight="1">
      <x:c r="A159" s="27" t="str">
        <x:v>C6</x:v>
      </x:c>
      <x:c r="B159" s="27" t="str">
        <x:v>P16</x:v>
      </x:c>
      <x:c r="C159" s="27" t="str">
        <x:v>Guillermo Penagos</x:v>
      </x:c>
      <x:c r="D159" s="41" t="n">
        <x:f>SUMIFS(Asignaciones!$I$6:$I$325,Asignaciones!$C$6:$C$325,B159,Asignaciones!$E$6:$E$325,C159)</x:f>
        <x:v>0.05</x:v>
      </x:c>
    </x:row>
    <x:row r="160" ht="27" customHeight="1">
      <x:c r="A160" s="27" t="str">
        <x:v>C6</x:v>
      </x:c>
      <x:c r="B160" s="27" t="str">
        <x:v>P16</x:v>
      </x:c>
      <x:c r="C160" s="27" t="str">
        <x:v>Sebastián Cartagena</x:v>
      </x:c>
      <x:c r="D160" s="41" t="n">
        <x:f>SUMIFS(Asignaciones!$I$6:$I$325,Asignaciones!$C$6:$C$325,B160,Asignaciones!$E$6:$E$325,C160)</x:f>
        <x:v>0.075</x:v>
      </x:c>
    </x:row>
    <x:row r="161" ht="27" customHeight="1">
      <x:c r="A161" s="27" t="str">
        <x:v>C6</x:v>
      </x:c>
      <x:c r="B161" s="27" t="str">
        <x:v>P16</x:v>
      </x:c>
      <x:c r="C161" s="27" t="str">
        <x:v>Liliana Restrepo</x:v>
      </x:c>
      <x:c r="D161" s="41" t="n">
        <x:f>SUMIFS(Asignaciones!$I$6:$I$325,Asignaciones!$C$6:$C$325,B161,Asignaciones!$E$6:$E$325,C161)</x:f>
        <x:v>0.33749999999999997</x:v>
      </x:c>
    </x:row>
    <x:row r="162" ht="27" customHeight="1">
      <x:c r="A162" s="27" t="str">
        <x:v>C6</x:v>
      </x:c>
      <x:c r="B162" s="27" t="str">
        <x:v>P16</x:v>
      </x:c>
      <x:c r="C162" s="27" t="str">
        <x:v>Juana — Secretaría de Medio Ambiente</x:v>
      </x:c>
      <x:c r="D162" s="41" t="n">
        <x:f>SUMIFS(Asignaciones!$I$6:$I$325,Asignaciones!$C$6:$C$325,B162,Asignaciones!$E$6:$E$325,C162)</x:f>
        <x:v>0.05</x:v>
      </x:c>
    </x:row>
    <x:row r="163" ht="27" customHeight="1">
      <x:c r="A163" s="27" t="str">
        <x:v>C6</x:v>
      </x:c>
      <x:c r="B163" s="27" t="str">
        <x:v>P16</x:v>
      </x:c>
      <x:c r="C163" s="27" t="str">
        <x:v>Curaduría Museo</x:v>
      </x:c>
      <x:c r="D163" s="41" t="n">
        <x:f>SUMIFS(Asignaciones!$I$6:$I$325,Asignaciones!$C$6:$C$325,B163,Asignaciones!$E$6:$E$325,C163)</x:f>
        <x:v>0.1875</x:v>
      </x:c>
    </x:row>
    <x:row r="164" ht="27" customHeight="1">
      <x:c r="A164" s="27" t="str">
        <x:v>C6</x:v>
      </x:c>
      <x:c r="B164" s="27" t="str">
        <x:v>P17</x:v>
      </x:c>
      <x:c r="C164" s="27" t="str">
        <x:v>María José Suárez</x:v>
      </x:c>
      <x:c r="D164" s="41" t="n">
        <x:f>SUMIFS(Asignaciones!$I$6:$I$325,Asignaciones!$C$6:$C$325,B164,Asignaciones!$E$6:$E$325,C164)</x:f>
        <x:v>0.05</x:v>
      </x:c>
    </x:row>
    <x:row r="165" ht="27" customHeight="1">
      <x:c r="A165" s="27" t="str">
        <x:v>C6</x:v>
      </x:c>
      <x:c r="B165" s="27" t="str">
        <x:v>P17</x:v>
      </x:c>
      <x:c r="C165" s="27" t="str">
        <x:v>Paola Andrea Ruiz Franco</x:v>
      </x:c>
      <x:c r="D165" s="41" t="n">
        <x:f>SUMIFS(Asignaciones!$I$6:$I$325,Asignaciones!$C$6:$C$325,B165,Asignaciones!$E$6:$E$325,C165)</x:f>
        <x:v>0.09999999999999999</x:v>
      </x:c>
    </x:row>
    <x:row r="166" ht="27" customHeight="1">
      <x:c r="A166" s="27" t="str">
        <x:v>C6</x:v>
      </x:c>
      <x:c r="B166" s="27" t="str">
        <x:v>P17</x:v>
      </x:c>
      <x:c r="C166" s="27" t="str">
        <x:v>Guillermo Penagos</x:v>
      </x:c>
      <x:c r="D166" s="41" t="n">
        <x:f>SUMIFS(Asignaciones!$I$6:$I$325,Asignaciones!$C$6:$C$325,B166,Asignaciones!$E$6:$E$325,C166)</x:f>
        <x:v>0.05</x:v>
      </x:c>
    </x:row>
    <x:row r="167" ht="27" customHeight="1">
      <x:c r="A167" s="27" t="str">
        <x:v>C6</x:v>
      </x:c>
      <x:c r="B167" s="27" t="str">
        <x:v>P17</x:v>
      </x:c>
      <x:c r="C167" s="27" t="str">
        <x:v>Luis Eduardo Vahos Hernández</x:v>
      </x:c>
      <x:c r="D167" s="41" t="n">
        <x:f>SUMIFS(Asignaciones!$I$6:$I$325,Asignaciones!$C$6:$C$325,B167,Asignaciones!$E$6:$E$325,C167)</x:f>
        <x:v>0.11666666666666664</x:v>
      </x:c>
    </x:row>
    <x:row r="168" ht="27" customHeight="1">
      <x:c r="A168" s="27" t="str">
        <x:v>C6</x:v>
      </x:c>
      <x:c r="B168" s="27" t="str">
        <x:v>P17</x:v>
      </x:c>
      <x:c r="C168" s="27" t="str">
        <x:v>León Darío Orrego Espejo</x:v>
      </x:c>
      <x:c r="D168" s="41" t="n">
        <x:f>SUMIFS(Asignaciones!$I$6:$I$325,Asignaciones!$C$6:$C$325,B168,Asignaciones!$E$6:$E$325,C168)</x:f>
        <x:v>0.11666666666666664</x:v>
      </x:c>
    </x:row>
    <x:row r="169" ht="27" customHeight="1">
      <x:c r="A169" s="27" t="str">
        <x:v>C6</x:v>
      </x:c>
      <x:c r="B169" s="27" t="str">
        <x:v>P17</x:v>
      </x:c>
      <x:c r="C169" s="27" t="str">
        <x:v>Daniel González Montoya</x:v>
      </x:c>
      <x:c r="D169" s="41" t="n">
        <x:f>SUMIFS(Asignaciones!$I$6:$I$325,Asignaciones!$C$6:$C$325,B169,Asignaciones!$E$6:$E$325,C169)</x:f>
        <x:v>0.05833333333333332</x:v>
      </x:c>
    </x:row>
    <x:row r="170" ht="27" customHeight="1">
      <x:c r="A170" s="27" t="str">
        <x:v>C6</x:v>
      </x:c>
      <x:c r="B170" s="27" t="str">
        <x:v>P17</x:v>
      </x:c>
      <x:c r="C170" s="27" t="str">
        <x:v>Sebastián Cartagena</x:v>
      </x:c>
      <x:c r="D170" s="41" t="n">
        <x:f>SUMIFS(Asignaciones!$I$6:$I$325,Asignaciones!$C$6:$C$325,B170,Asignaciones!$E$6:$E$325,C170)</x:f>
        <x:v>0.1</x:v>
      </x:c>
    </x:row>
    <x:row r="171" ht="27" customHeight="1">
      <x:c r="A171" s="27" t="str">
        <x:v>C6</x:v>
      </x:c>
      <x:c r="B171" s="27" t="str">
        <x:v>P17</x:v>
      </x:c>
      <x:c r="C171" s="27" t="str">
        <x:v>Liliana Restrepo</x:v>
      </x:c>
      <x:c r="D171" s="41" t="n">
        <x:f>SUMIFS(Asignaciones!$I$6:$I$325,Asignaciones!$C$6:$C$325,B171,Asignaciones!$E$6:$E$325,C171)</x:f>
        <x:v>0.19166666666666665</x:v>
      </x:c>
    </x:row>
    <x:row r="172" ht="27" customHeight="1">
      <x:c r="A172" s="27" t="str">
        <x:v>C6</x:v>
      </x:c>
      <x:c r="B172" s="27" t="str">
        <x:v>P17</x:v>
      </x:c>
      <x:c r="C172" s="27" t="str">
        <x:v>Juana — Secretaría de Medio Ambiente</x:v>
      </x:c>
      <x:c r="D172" s="41" t="n">
        <x:f>SUMIFS(Asignaciones!$I$6:$I$325,Asignaciones!$C$6:$C$325,B172,Asignaciones!$E$6:$E$325,C172)</x:f>
        <x:v>0.05</x:v>
      </x:c>
    </x:row>
    <x:row r="173" ht="27" customHeight="1">
      <x:c r="A173" s="27" t="str">
        <x:v>C6</x:v>
      </x:c>
      <x:c r="B173" s="27" t="str">
        <x:v>P17</x:v>
      </x:c>
      <x:c r="C173" s="27" t="str">
        <x:v>Curaduría Museo</x:v>
      </x:c>
      <x:c r="D173" s="41" t="n">
        <x:f>SUMIFS(Asignaciones!$I$6:$I$325,Asignaciones!$C$6:$C$325,B173,Asignaciones!$E$6:$E$325,C173)</x:f>
        <x:v>0.16666666666666663</x:v>
      </x:c>
    </x:row>
    <x:row r="174" ht="27" customHeight="1">
      <x:c r="A174" s="27" t="str">
        <x:v>C6</x:v>
      </x:c>
      <x:c r="B174" s="27" t="str">
        <x:v>P18</x:v>
      </x:c>
      <x:c r="C174" s="27" t="str">
        <x:v>María José Suárez</x:v>
      </x:c>
      <x:c r="D174" s="41" t="n">
        <x:f>SUMIFS(Asignaciones!$I$6:$I$325,Asignaciones!$C$6:$C$325,B174,Asignaciones!$E$6:$E$325,C174)</x:f>
        <x:v>0.05</x:v>
      </x:c>
    </x:row>
    <x:row r="175" ht="27" customHeight="1">
      <x:c r="A175" s="27" t="str">
        <x:v>C6</x:v>
      </x:c>
      <x:c r="B175" s="27" t="str">
        <x:v>P18</x:v>
      </x:c>
      <x:c r="C175" s="27" t="str">
        <x:v>Paola Andrea Ruiz Franco</x:v>
      </x:c>
      <x:c r="D175" s="41" t="n">
        <x:f>SUMIFS(Asignaciones!$I$6:$I$325,Asignaciones!$C$6:$C$325,B175,Asignaciones!$E$6:$E$325,C175)</x:f>
        <x:v>0.09999999999999999</x:v>
      </x:c>
    </x:row>
    <x:row r="176" ht="27" customHeight="1">
      <x:c r="A176" s="27" t="str">
        <x:v>C6</x:v>
      </x:c>
      <x:c r="B176" s="27" t="str">
        <x:v>P18</x:v>
      </x:c>
      <x:c r="C176" s="27" t="str">
        <x:v>Juliana Valencia</x:v>
      </x:c>
      <x:c r="D176" s="41" t="n">
        <x:f>SUMIFS(Asignaciones!$I$6:$I$325,Asignaciones!$C$6:$C$325,B176,Asignaciones!$E$6:$E$325,C176)</x:f>
        <x:v>0.15035714285714286</x:v>
      </x:c>
    </x:row>
    <x:row r="177" ht="27" customHeight="1">
      <x:c r="A177" s="27" t="str">
        <x:v>C6</x:v>
      </x:c>
      <x:c r="B177" s="27" t="str">
        <x:v>P18</x:v>
      </x:c>
      <x:c r="C177" s="27" t="str">
        <x:v>Jeiner de Jesús Castellanos Barliza</x:v>
      </x:c>
      <x:c r="D177" s="41" t="n">
        <x:f>SUMIFS(Asignaciones!$I$6:$I$325,Asignaciones!$C$6:$C$325,B177,Asignaciones!$E$6:$E$325,C177)</x:f>
        <x:v>0.03125</x:v>
      </x:c>
    </x:row>
    <x:row r="178" ht="27" customHeight="1">
      <x:c r="A178" s="27" t="str">
        <x:v>C6</x:v>
      </x:c>
      <x:c r="B178" s="27" t="str">
        <x:v>P18</x:v>
      </x:c>
      <x:c r="C178" s="27" t="str">
        <x:v>Marcos Arango Tamayo</x:v>
      </x:c>
      <x:c r="D178" s="41" t="n">
        <x:f>SUMIFS(Asignaciones!$I$6:$I$325,Asignaciones!$C$6:$C$325,B178,Asignaciones!$E$6:$E$325,C178)</x:f>
        <x:v>0.08392857142857144</x:v>
      </x:c>
    </x:row>
    <x:row r="179" ht="27" customHeight="1">
      <x:c r="A179" s="27" t="str">
        <x:v>C6</x:v>
      </x:c>
      <x:c r="B179" s="27" t="str">
        <x:v>P18</x:v>
      </x:c>
      <x:c r="C179" s="27" t="str">
        <x:v>Vanessa García Leoz</x:v>
      </x:c>
      <x:c r="D179" s="41" t="n">
        <x:f>SUMIFS(Asignaciones!$I$6:$I$325,Asignaciones!$C$6:$C$325,B179,Asignaciones!$E$6:$E$325,C179)</x:f>
        <x:v>0.10535714285714286</x:v>
      </x:c>
    </x:row>
    <x:row r="180" ht="27" customHeight="1">
      <x:c r="A180" s="27" t="str">
        <x:v>C6</x:v>
      </x:c>
      <x:c r="B180" s="27" t="str">
        <x:v>P18</x:v>
      </x:c>
      <x:c r="C180" s="27" t="str">
        <x:v>Guillermo Penagos</x:v>
      </x:c>
      <x:c r="D180" s="41" t="n">
        <x:f>SUMIFS(Asignaciones!$I$6:$I$325,Asignaciones!$C$6:$C$325,B180,Asignaciones!$E$6:$E$325,C180)</x:f>
        <x:v>0.05</x:v>
      </x:c>
    </x:row>
    <x:row r="181" ht="27" customHeight="1">
      <x:c r="A181" s="27" t="str">
        <x:v>C6</x:v>
      </x:c>
      <x:c r="B181" s="27" t="str">
        <x:v>P18</x:v>
      </x:c>
      <x:c r="C181" s="27" t="str">
        <x:v>Sebastián Cartagena</x:v>
      </x:c>
      <x:c r="D181" s="41" t="n">
        <x:f>SUMIFS(Asignaciones!$I$6:$I$325,Asignaciones!$C$6:$C$325,B181,Asignaciones!$E$6:$E$325,C181)</x:f>
        <x:v>0.16410714285714287</x:v>
      </x:c>
    </x:row>
    <x:row r="182" ht="27" customHeight="1">
      <x:c r="A182" s="27" t="str">
        <x:v>C6</x:v>
      </x:c>
      <x:c r="B182" s="27" t="str">
        <x:v>P18</x:v>
      </x:c>
      <x:c r="C182" s="27" t="str">
        <x:v>Liliana Restrepo</x:v>
      </x:c>
      <x:c r="D182" s="41" t="n">
        <x:f>SUMIFS(Asignaciones!$I$6:$I$325,Asignaciones!$C$6:$C$325,B182,Asignaciones!$E$6:$E$325,C182)</x:f>
        <x:v>0.0625</x:v>
      </x:c>
    </x:row>
    <x:row r="183" ht="27" customHeight="1">
      <x:c r="A183" s="27" t="str">
        <x:v>C6</x:v>
      </x:c>
      <x:c r="B183" s="27" t="str">
        <x:v>P18</x:v>
      </x:c>
      <x:c r="C183" s="27" t="str">
        <x:v>Juana — Secretaría de Medio Ambiente</x:v>
      </x:c>
      <x:c r="D183" s="41" t="n">
        <x:f>SUMIFS(Asignaciones!$I$6:$I$325,Asignaciones!$C$6:$C$325,B183,Asignaciones!$E$6:$E$325,C183)</x:f>
        <x:v>0.05</x:v>
      </x:c>
    </x:row>
    <x:row r="184" ht="27" customHeight="1">
      <x:c r="A184" s="27" t="str">
        <x:v>C6</x:v>
      </x:c>
      <x:c r="B184" s="27" t="str">
        <x:v>P18</x:v>
      </x:c>
      <x:c r="C184" s="27" t="str">
        <x:v>Curaduría Museo</x:v>
      </x:c>
      <x:c r="D184" s="41" t="n">
        <x:f>SUMIFS(Asignaciones!$I$6:$I$325,Asignaciones!$C$6:$C$325,B184,Asignaciones!$E$6:$E$325,C184)</x:f>
        <x:v>0.15250000000000002</x:v>
      </x:c>
    </x:row>
  </x:sheetData>
  <x:pageMargins left="0.7" right="0.7" top="0.75" bottom="0.75" header="0.3" footer="0.3"/>
  <x:tableParts count="1">
    <x:tablePart xmlns:r="http://schemas.openxmlformats.org/officeDocument/2006/relationships" r:id="R417d1517eea64c5b"/>
  </x:tableParts>
</x:worksheet>
</file>